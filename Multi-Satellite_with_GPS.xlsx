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nvi\Documents\IIT Tirupati\IEOR Course\"/>
    </mc:Choice>
  </mc:AlternateContent>
  <bookViews>
    <workbookView xWindow="0" yWindow="0" windowWidth="22104" windowHeight="9972" activeTab="4"/>
  </bookViews>
  <sheets>
    <sheet name="Answer Report 1" sheetId="7" r:id="rId1"/>
    <sheet name="Answer Report 2" sheetId="8" r:id="rId2"/>
    <sheet name="Sensitivity Report 1" sheetId="9" r:id="rId3"/>
    <sheet name="Limits Report 1" sheetId="10" r:id="rId4"/>
    <sheet name="Sheet1" sheetId="1" r:id="rId5"/>
  </sheets>
  <definedNames>
    <definedName name="solver_adj" localSheetId="4" hidden="1">Sheet1!$B$3:$K$6,Sheet1!$B$21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Sheet1!$B$21</definedName>
    <definedName name="solver_lhs2" localSheetId="4" hidden="1">Sheet1!$B$3:$K$6</definedName>
    <definedName name="solver_lhs3" localSheetId="4" hidden="1">Sheet1!$B$7:$K$7</definedName>
    <definedName name="solver_lhs4" localSheetId="4" hidden="1">Sheet1!$L$3:$L$6</definedName>
    <definedName name="solver_lhs5" localSheetId="4" hidden="1">Sheet1!$N$3:$N$6</definedName>
    <definedName name="solver_lhs6" localSheetId="4" hidden="1">Sheet1!$N$3:$N$6</definedName>
    <definedName name="solver_lhs7" localSheetId="4" hidden="1">Sheet1!$N$3:$N$6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5</definedName>
    <definedName name="solver_nwt" localSheetId="4" hidden="1">1</definedName>
    <definedName name="solver_opt" localSheetId="4" hidden="1">Sheet1!$B$13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1</definedName>
    <definedName name="solver_rel3" localSheetId="4" hidden="1">1</definedName>
    <definedName name="solver_rel4" localSheetId="4" hidden="1">3</definedName>
    <definedName name="solver_rel5" localSheetId="4" hidden="1">1</definedName>
    <definedName name="solver_rel6" localSheetId="4" hidden="1">1</definedName>
    <definedName name="solver_rel7" localSheetId="4" hidden="1">1</definedName>
    <definedName name="solver_rhs1" localSheetId="4" hidden="1">Sheet1!$B$22</definedName>
    <definedName name="solver_rhs2" localSheetId="4" hidden="1">Sheet1!$B$16:$K$19</definedName>
    <definedName name="solver_rhs3" localSheetId="4" hidden="1">Sheet1!$B$8:$K$8</definedName>
    <definedName name="solver_rhs4" localSheetId="4" hidden="1">1</definedName>
    <definedName name="solver_rhs5" localSheetId="4" hidden="1">Sheet1!$O$3:$O$6</definedName>
    <definedName name="solver_rhs6" localSheetId="4" hidden="1">Sheet1!$O$3:$O$6</definedName>
    <definedName name="solver_rhs7" localSheetId="4" hidden="1">Sheet1!$O$3:$O$6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3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22" i="1" l="1"/>
  <c r="L4" i="1"/>
  <c r="L5" i="1"/>
  <c r="L6" i="1"/>
  <c r="L3" i="1"/>
  <c r="N4" i="1"/>
  <c r="N5" i="1"/>
  <c r="N6" i="1"/>
  <c r="N3" i="1"/>
  <c r="C7" i="1"/>
  <c r="D7" i="1"/>
  <c r="E7" i="1"/>
  <c r="F7" i="1"/>
  <c r="G7" i="1"/>
  <c r="H7" i="1"/>
  <c r="I7" i="1"/>
  <c r="J7" i="1"/>
  <c r="K7" i="1"/>
  <c r="B7" i="1"/>
</calcChain>
</file>

<file path=xl/sharedStrings.xml><?xml version="1.0" encoding="utf-8"?>
<sst xmlns="http://schemas.openxmlformats.org/spreadsheetml/2006/main" count="1066" uniqueCount="263">
  <si>
    <t>Decision Variables</t>
  </si>
  <si>
    <t>S1</t>
  </si>
  <si>
    <t>S2</t>
  </si>
  <si>
    <t>S3</t>
  </si>
  <si>
    <t>S4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</si>
  <si>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</si>
  <si>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</si>
  <si>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</si>
  <si>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</si>
  <si>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</si>
  <si>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</si>
  <si>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</si>
  <si>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</si>
  <si>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</si>
  <si>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</si>
  <si>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Max Z</t>
  </si>
  <si>
    <t>Visibility</t>
  </si>
  <si>
    <t>VS1</t>
  </si>
  <si>
    <t>VS2</t>
  </si>
  <si>
    <t>VS3</t>
  </si>
  <si>
    <t>VS4</t>
  </si>
  <si>
    <t>Max GB</t>
  </si>
  <si>
    <t>Used GB</t>
  </si>
  <si>
    <t>GPS</t>
  </si>
  <si>
    <t>Utlisation</t>
  </si>
  <si>
    <t>Microsoft Excel 15.0 Answer Report</t>
  </si>
  <si>
    <t>Worksheet: [imdying.xlsx]Sheet1</t>
  </si>
  <si>
    <t>Result: Solver found a solution.  All Constraints and optimality conditions are satisfied.</t>
  </si>
  <si>
    <t>Solver Engine</t>
  </si>
  <si>
    <t>Engine: Simplex LP</t>
  </si>
  <si>
    <t>Iterations: 22 Subproblems: 0</t>
  </si>
  <si>
    <t>Solver Options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</si>
  <si>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</si>
  <si>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</si>
  <si>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</si>
  <si>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</si>
  <si>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</si>
  <si>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</si>
  <si>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</si>
  <si>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</si>
  <si>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</si>
  <si>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</si>
  <si>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</si>
  <si>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</si>
  <si>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</si>
  <si>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$B$13</t>
  </si>
  <si>
    <t>Max Z T1</t>
  </si>
  <si>
    <t>$B$3</t>
  </si>
  <si>
    <t>S1 T1</t>
  </si>
  <si>
    <t>Contin</t>
  </si>
  <si>
    <t>$C$3</t>
  </si>
  <si>
    <t>S1 T2</t>
  </si>
  <si>
    <t>$D$3</t>
  </si>
  <si>
    <t>S1 T3</t>
  </si>
  <si>
    <t>$E$3</t>
  </si>
  <si>
    <t>S1 T4</t>
  </si>
  <si>
    <t>$F$3</t>
  </si>
  <si>
    <t>S1 T5</t>
  </si>
  <si>
    <t>$G$3</t>
  </si>
  <si>
    <t>S1 T6</t>
  </si>
  <si>
    <t>$H$3</t>
  </si>
  <si>
    <t>S1 T7</t>
  </si>
  <si>
    <t>$I$3</t>
  </si>
  <si>
    <t>S1 T8</t>
  </si>
  <si>
    <t>$J$3</t>
  </si>
  <si>
    <t>S1 T9</t>
  </si>
  <si>
    <t>$K$3</t>
  </si>
  <si>
    <t>S1 T10</t>
  </si>
  <si>
    <t>$B$4</t>
  </si>
  <si>
    <t>S2 T1</t>
  </si>
  <si>
    <t>$C$4</t>
  </si>
  <si>
    <t>S2 T2</t>
  </si>
  <si>
    <t>$D$4</t>
  </si>
  <si>
    <t>S2 T3</t>
  </si>
  <si>
    <t>$E$4</t>
  </si>
  <si>
    <t>S2 T4</t>
  </si>
  <si>
    <t>$F$4</t>
  </si>
  <si>
    <t>S2 T5</t>
  </si>
  <si>
    <t>$G$4</t>
  </si>
  <si>
    <t>S2 T6</t>
  </si>
  <si>
    <t>$H$4</t>
  </si>
  <si>
    <t>S2 T7</t>
  </si>
  <si>
    <t>$I$4</t>
  </si>
  <si>
    <t>S2 T8</t>
  </si>
  <si>
    <t>$J$4</t>
  </si>
  <si>
    <t>S2 T9</t>
  </si>
  <si>
    <t>$K$4</t>
  </si>
  <si>
    <t>S2 T10</t>
  </si>
  <si>
    <t>$B$5</t>
  </si>
  <si>
    <t>S3 T1</t>
  </si>
  <si>
    <t>$C$5</t>
  </si>
  <si>
    <t>S3 T2</t>
  </si>
  <si>
    <t>$D$5</t>
  </si>
  <si>
    <t>S3 T3</t>
  </si>
  <si>
    <t>$E$5</t>
  </si>
  <si>
    <t>S3 T4</t>
  </si>
  <si>
    <t>$F$5</t>
  </si>
  <si>
    <t>S3 T5</t>
  </si>
  <si>
    <t>$G$5</t>
  </si>
  <si>
    <t>S3 T6</t>
  </si>
  <si>
    <t>$H$5</t>
  </si>
  <si>
    <t>S3 T7</t>
  </si>
  <si>
    <t>$I$5</t>
  </si>
  <si>
    <t>S3 T8</t>
  </si>
  <si>
    <t>$J$5</t>
  </si>
  <si>
    <t>S3 T9</t>
  </si>
  <si>
    <t>$K$5</t>
  </si>
  <si>
    <t>S3 T10</t>
  </si>
  <si>
    <t>$B$6</t>
  </si>
  <si>
    <t>S4 T1</t>
  </si>
  <si>
    <t>$C$6</t>
  </si>
  <si>
    <t>S4 T2</t>
  </si>
  <si>
    <t>$D$6</t>
  </si>
  <si>
    <t>S4 T3</t>
  </si>
  <si>
    <t>$E$6</t>
  </si>
  <si>
    <t>S4 T4</t>
  </si>
  <si>
    <t>$F$6</t>
  </si>
  <si>
    <t>S4 T5</t>
  </si>
  <si>
    <t>$G$6</t>
  </si>
  <si>
    <t>S4 T6</t>
  </si>
  <si>
    <t>$H$6</t>
  </si>
  <si>
    <t>S4 T7</t>
  </si>
  <si>
    <t>$I$6</t>
  </si>
  <si>
    <t>S4 T8</t>
  </si>
  <si>
    <t>$J$6</t>
  </si>
  <si>
    <t>S4 T9</t>
  </si>
  <si>
    <t>$K$6</t>
  </si>
  <si>
    <t>S4 T10</t>
  </si>
  <si>
    <t>$B$21</t>
  </si>
  <si>
    <t>GPS T1</t>
  </si>
  <si>
    <t>$B$21&lt;=$B$22</t>
  </si>
  <si>
    <t>Binding</t>
  </si>
  <si>
    <t>$B$7</t>
  </si>
  <si>
    <t>$B$7&lt;=$B$8</t>
  </si>
  <si>
    <t>$C$7</t>
  </si>
  <si>
    <t>$C$7&lt;=$C$8</t>
  </si>
  <si>
    <t>$D$7</t>
  </si>
  <si>
    <t>$D$7&lt;=$D$8</t>
  </si>
  <si>
    <t>$E$7</t>
  </si>
  <si>
    <t>$E$7&lt;=$E$8</t>
  </si>
  <si>
    <t>$F$7</t>
  </si>
  <si>
    <t>$F$7&lt;=$F$8</t>
  </si>
  <si>
    <t>$G$7</t>
  </si>
  <si>
    <t>$G$7&lt;=$G$8</t>
  </si>
  <si>
    <t>$H$7</t>
  </si>
  <si>
    <t>$H$7&lt;=$H$8</t>
  </si>
  <si>
    <t>$I$7</t>
  </si>
  <si>
    <t>$I$7&lt;=$I$8</t>
  </si>
  <si>
    <t>$J$7</t>
  </si>
  <si>
    <t>$J$7&lt;=$J$8</t>
  </si>
  <si>
    <t>$K$7</t>
  </si>
  <si>
    <t>$K$7&lt;=$K$8</t>
  </si>
  <si>
    <t>$L$3</t>
  </si>
  <si>
    <t>S1 Utlisation</t>
  </si>
  <si>
    <t>$L$3&gt;=1</t>
  </si>
  <si>
    <t>Not Binding</t>
  </si>
  <si>
    <t>$L$4</t>
  </si>
  <si>
    <t>S2 Utlisation</t>
  </si>
  <si>
    <t>$L$4&gt;=1</t>
  </si>
  <si>
    <t>$L$5</t>
  </si>
  <si>
    <t>S3 Utlisation</t>
  </si>
  <si>
    <t>$L$5&gt;=1</t>
  </si>
  <si>
    <t>$L$6</t>
  </si>
  <si>
    <t>S4 Utlisation</t>
  </si>
  <si>
    <t>$L$6&gt;=1</t>
  </si>
  <si>
    <t>$N$3</t>
  </si>
  <si>
    <t>S1 Used GB</t>
  </si>
  <si>
    <t>$N$3&lt;=$O$3</t>
  </si>
  <si>
    <t>$N$4</t>
  </si>
  <si>
    <t>S2 Used GB</t>
  </si>
  <si>
    <t>$N$4&lt;=$O$4</t>
  </si>
  <si>
    <t>$N$5</t>
  </si>
  <si>
    <t>S3 Used GB</t>
  </si>
  <si>
    <t>$N$5&lt;=$O$5</t>
  </si>
  <si>
    <t>$N$6</t>
  </si>
  <si>
    <t>S4 Used GB</t>
  </si>
  <si>
    <t>$N$6&lt;=$O$6</t>
  </si>
  <si>
    <t>$B$3&lt;=$B$16</t>
  </si>
  <si>
    <t>$C$3&lt;=$C$16</t>
  </si>
  <si>
    <t>$D$3&lt;=$D$16</t>
  </si>
  <si>
    <t>$E$3&lt;=$E$16</t>
  </si>
  <si>
    <t>$F$3&lt;=$F$16</t>
  </si>
  <si>
    <t>$G$3&lt;=$G$16</t>
  </si>
  <si>
    <t>$H$3&lt;=$H$16</t>
  </si>
  <si>
    <t>$I$3&lt;=$I$16</t>
  </si>
  <si>
    <t>$J$3&lt;=$J$16</t>
  </si>
  <si>
    <t>$K$3&lt;=$K$16</t>
  </si>
  <si>
    <t>$B$4&lt;=$B$17</t>
  </si>
  <si>
    <t>$C$4&lt;=$C$17</t>
  </si>
  <si>
    <t>$D$4&lt;=$D$17</t>
  </si>
  <si>
    <t>$E$4&lt;=$E$17</t>
  </si>
  <si>
    <t>$F$4&lt;=$F$17</t>
  </si>
  <si>
    <t>$G$4&lt;=$G$17</t>
  </si>
  <si>
    <t>$H$4&lt;=$H$17</t>
  </si>
  <si>
    <t>$I$4&lt;=$I$17</t>
  </si>
  <si>
    <t>$J$4&lt;=$J$17</t>
  </si>
  <si>
    <t>$K$4&lt;=$K$17</t>
  </si>
  <si>
    <t>$B$5&lt;=$B$18</t>
  </si>
  <si>
    <t>$C$5&lt;=$C$18</t>
  </si>
  <si>
    <t>$D$5&lt;=$D$18</t>
  </si>
  <si>
    <t>$E$5&lt;=$E$18</t>
  </si>
  <si>
    <t>$F$5&lt;=$F$18</t>
  </si>
  <si>
    <t>$G$5&lt;=$G$18</t>
  </si>
  <si>
    <t>$H$5&lt;=$H$18</t>
  </si>
  <si>
    <t>$I$5&lt;=$I$18</t>
  </si>
  <si>
    <t>$J$5&lt;=$J$18</t>
  </si>
  <si>
    <t>$K$5&lt;=$K$18</t>
  </si>
  <si>
    <t>$B$6&lt;=$B$19</t>
  </si>
  <si>
    <t>$C$6&lt;=$C$19</t>
  </si>
  <si>
    <t>$D$6&lt;=$D$19</t>
  </si>
  <si>
    <t>$E$6&lt;=$E$19</t>
  </si>
  <si>
    <t>$F$6&lt;=$F$19</t>
  </si>
  <si>
    <t>$G$6&lt;=$G$19</t>
  </si>
  <si>
    <t>$H$6&lt;=$H$19</t>
  </si>
  <si>
    <t>$I$6&lt;=$I$19</t>
  </si>
  <si>
    <t>$J$6&lt;=$J$19</t>
  </si>
  <si>
    <t>$K$6&lt;=$K$19</t>
  </si>
  <si>
    <t>$B$21=Binary</t>
  </si>
  <si>
    <t>Binary</t>
  </si>
  <si>
    <t>Optimised Imaging</t>
  </si>
  <si>
    <t>Optimised Imaging T1</t>
  </si>
  <si>
    <t>Optimised Imaging T2</t>
  </si>
  <si>
    <t>Optimised Imaging T3</t>
  </si>
  <si>
    <t>Optimised Imaging T4</t>
  </si>
  <si>
    <t>Optimised Imaging T5</t>
  </si>
  <si>
    <t>Optimised Imaging T6</t>
  </si>
  <si>
    <t>Optimised Imaging T7</t>
  </si>
  <si>
    <t>Optimised Imaging T8</t>
  </si>
  <si>
    <t>Optimised Imaging T9</t>
  </si>
  <si>
    <t>Optimised Imaging T10</t>
  </si>
  <si>
    <t>Max Time Unlimited,  Iterations Unlimited, Precision 0.000001, Use Automatic Scaling</t>
  </si>
  <si>
    <t>$B$3:$K$6=Binary</t>
  </si>
  <si>
    <t>Report Created: 29-04-2026 19:08:38</t>
  </si>
  <si>
    <t>Solution Time: 0.046 Seconds.</t>
  </si>
  <si>
    <t>X_GPS</t>
  </si>
  <si>
    <t>Priority (P)</t>
  </si>
  <si>
    <t>Data Size (D)</t>
  </si>
  <si>
    <t>Limit for Imaging</t>
  </si>
  <si>
    <t>-</t>
  </si>
  <si>
    <t>Report Created: 30-04-2026 00:12:36</t>
  </si>
  <si>
    <t>X_GPS T1</t>
  </si>
  <si>
    <t>Microsoft Excel 15.0 Sensitivity Report</t>
  </si>
  <si>
    <t>Report Created: 30-04-2026 00:12:37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</si>
  <si>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</si>
  <si>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</si>
  <si>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</si>
  <si>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</si>
  <si>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</si>
  <si>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</si>
  <si>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</si>
  <si>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</si>
  <si>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</si>
  <si>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</si>
  <si>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</si>
  <si>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</si>
  <si>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</si>
  <si>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15.0 Limits Report</t>
  </si>
  <si>
    <t>Report Created: 30-04-2026 00:12:38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</si>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</sst>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1" fillId="0" borderId="1" xfId="0" applyFont="1" applyFill="1" applyBorder="1"/>
    <xf numFmtId="0" fontId="1" fillId="0" borderId="0" xfId="0" applyFont="1" applyFill="1" applyBorder="1"/>
    <xf numFmtId="0" fontId="0" fillId="0" borderId="1" xfId="0" applyFill="1" applyBorder="1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5" xfId="0" applyFill="1" applyBorder="1" applyAlignment="1"/>
    <xf numFmtId="0" fontId="2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0" fillId="0" borderId="1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showGridLines="0" workbookViewId="0"/>
  </sheetViews>
  <sheetFormatPr defaultRowHeight="14.4" x14ac:dyDescent="0.3"/>
  <cols>
    <col min="1" max="1" width="2.33203125" customWidth="1"/>
    <col min="2" max="2" width="15.88671875" customWidth="1"/>
    <col min="3" max="3" width="19.6640625" customWidth="1"/>
    <col min="4" max="4" width="12.6640625" bestFit="1" customWidth="1"/>
    <col min="5" max="5" width="13.33203125" bestFit="1" customWidth="1"/>
    <col min="6" max="6" width="10.44140625" customWidth="1"/>
    <col min="7" max="7" width="5.33203125" customWidth="1"/>
  </cols>
  <sheetData>
    <row r="1" spans="1:5" x14ac:dyDescent="0.3">
      <c r="A1" s="14" t="s">
        <v>25</v>
      </c>
    </row>
    <row r="2" spans="1:5" x14ac:dyDescent="0.3">
      <c r="A2" s="14" t="s">
        <v>26</v>
      </c>
    </row>
    <row r="3" spans="1:5" x14ac:dyDescent="0.3">
      <c r="A3" s="14" t="s">
        <v>232</v>
      </c>
    </row>
    <row r="4" spans="1:5" x14ac:dyDescent="0.3">
      <c r="A4" s="14" t="s">
        <v>27</v>
      </c>
    </row>
    <row r="5" spans="1:5" x14ac:dyDescent="0.3">
      <c r="A5" s="14" t="s">
        <v>28</v>
      </c>
    </row>
    <row r="6" spans="1:5" x14ac:dyDescent="0.3">
      <c r="A6" s="14"/>
      <c r="B6" t="s">
        <v>29</v>
      </c>
    </row>
    <row r="7" spans="1:5" x14ac:dyDescent="0.3">
      <c r="A7" s="14"/>
      <c r="B7" t="s">
        <v>233</v>
      </c>
    </row>
    <row r="8" spans="1:5" x14ac:dyDescent="0.3">
      <c r="A8" s="14"/>
      <c r="B8" t="s">
        <v>30</v>
      </c>
    </row>
    <row r="9" spans="1:5" x14ac:dyDescent="0.3">
      <c r="A9" s="14" t="s">
        <v>31</v>
      </c>
    </row>
    <row r="10" spans="1:5" x14ac:dyDescent="0.3">
      <c r="B10" t="s">
        <v>230</v>
      </c>
    </row>
    <row r="11" spans="1:5" x14ac:dyDescent="0.3">
      <c r="B11" t="s">
        <v>32</v>
      </c>
    </row>
    <row r="14" spans="1:5" ht="15" thickBot="1" x14ac:dyDescent="0.35">
      <c r="A14" t="s">
        <v>33</v>
      </c>
    </row>
    <row r="15" spans="1:5" ht="15" thickBot="1" x14ac:dyDescent="0.35">
      <c r="B15" s="16" t="s">
        <v>34</v>
      </c>
      <c r="C15" s="16" t="s">
        <v>35</v>
      </c>
      <c r="D15" s="16" t="s">
        <v>36</v>
      </c>
      <c r="E15" s="16" t="s">
        <v>37</v>
      </c>
    </row>
    <row r="16" spans="1:5" ht="15" thickBot="1" x14ac:dyDescent="0.35">
      <c r="B16" s="15" t="s">
        <v>45</v>
      </c>
      <c r="C16" s="15" t="s">
        <v>46</v>
      </c>
      <c r="D16" s="18">
        <v>720</v>
      </c>
      <c r="E16" s="18">
        <v>720</v>
      </c>
    </row>
    <row r="19" spans="1:6" ht="15" thickBot="1" x14ac:dyDescent="0.35">
      <c r="A19" t="s">
        <v>38</v>
      </c>
    </row>
    <row r="20" spans="1:6" ht="15" thickBot="1" x14ac:dyDescent="0.35">
      <c r="B20" s="16" t="s">
        <v>34</v>
      </c>
      <c r="C20" s="16" t="s">
        <v>35</v>
      </c>
      <c r="D20" s="16" t="s">
        <v>36</v>
      </c>
      <c r="E20" s="16" t="s">
        <v>37</v>
      </c>
      <c r="F20" s="16" t="s">
        <v>39</v>
      </c>
    </row>
    <row r="21" spans="1:6" x14ac:dyDescent="0.3">
      <c r="B21" s="17" t="s">
        <v>47</v>
      </c>
      <c r="C21" s="17" t="s">
        <v>48</v>
      </c>
      <c r="D21" s="19">
        <v>0</v>
      </c>
      <c r="E21" s="19">
        <v>1</v>
      </c>
      <c r="F21" s="17" t="s">
        <v>218</v>
      </c>
    </row>
    <row r="22" spans="1:6" x14ac:dyDescent="0.3">
      <c r="B22" s="17" t="s">
        <v>50</v>
      </c>
      <c r="C22" s="17" t="s">
        <v>51</v>
      </c>
      <c r="D22" s="19">
        <v>0</v>
      </c>
      <c r="E22" s="19">
        <v>0</v>
      </c>
      <c r="F22" s="17" t="s">
        <v>218</v>
      </c>
    </row>
    <row r="23" spans="1:6" x14ac:dyDescent="0.3">
      <c r="B23" s="17" t="s">
        <v>52</v>
      </c>
      <c r="C23" s="17" t="s">
        <v>53</v>
      </c>
      <c r="D23" s="19">
        <v>1</v>
      </c>
      <c r="E23" s="19">
        <v>1</v>
      </c>
      <c r="F23" s="17" t="s">
        <v>218</v>
      </c>
    </row>
    <row r="24" spans="1:6" x14ac:dyDescent="0.3">
      <c r="B24" s="17" t="s">
        <v>54</v>
      </c>
      <c r="C24" s="17" t="s">
        <v>55</v>
      </c>
      <c r="D24" s="19">
        <v>0</v>
      </c>
      <c r="E24" s="19">
        <v>0</v>
      </c>
      <c r="F24" s="17" t="s">
        <v>218</v>
      </c>
    </row>
    <row r="25" spans="1:6" x14ac:dyDescent="0.3">
      <c r="B25" s="17" t="s">
        <v>56</v>
      </c>
      <c r="C25" s="17" t="s">
        <v>57</v>
      </c>
      <c r="D25" s="19">
        <v>0</v>
      </c>
      <c r="E25" s="19">
        <v>0</v>
      </c>
      <c r="F25" s="17" t="s">
        <v>218</v>
      </c>
    </row>
    <row r="26" spans="1:6" x14ac:dyDescent="0.3">
      <c r="B26" s="17" t="s">
        <v>58</v>
      </c>
      <c r="C26" s="17" t="s">
        <v>59</v>
      </c>
      <c r="D26" s="19">
        <v>0</v>
      </c>
      <c r="E26" s="19">
        <v>0</v>
      </c>
      <c r="F26" s="17" t="s">
        <v>218</v>
      </c>
    </row>
    <row r="27" spans="1:6" x14ac:dyDescent="0.3">
      <c r="B27" s="17" t="s">
        <v>60</v>
      </c>
      <c r="C27" s="17" t="s">
        <v>61</v>
      </c>
      <c r="D27" s="19">
        <v>1</v>
      </c>
      <c r="E27" s="19">
        <v>1</v>
      </c>
      <c r="F27" s="17" t="s">
        <v>218</v>
      </c>
    </row>
    <row r="28" spans="1:6" x14ac:dyDescent="0.3">
      <c r="B28" s="17" t="s">
        <v>62</v>
      </c>
      <c r="C28" s="17" t="s">
        <v>63</v>
      </c>
      <c r="D28" s="19">
        <v>0</v>
      </c>
      <c r="E28" s="19">
        <v>0</v>
      </c>
      <c r="F28" s="17" t="s">
        <v>218</v>
      </c>
    </row>
    <row r="29" spans="1:6" x14ac:dyDescent="0.3">
      <c r="B29" s="17" t="s">
        <v>64</v>
      </c>
      <c r="C29" s="17" t="s">
        <v>65</v>
      </c>
      <c r="D29" s="19">
        <v>0</v>
      </c>
      <c r="E29" s="19">
        <v>1</v>
      </c>
      <c r="F29" s="17" t="s">
        <v>218</v>
      </c>
    </row>
    <row r="30" spans="1:6" x14ac:dyDescent="0.3">
      <c r="B30" s="17" t="s">
        <v>66</v>
      </c>
      <c r="C30" s="17" t="s">
        <v>67</v>
      </c>
      <c r="D30" s="19">
        <v>1</v>
      </c>
      <c r="E30" s="19">
        <v>1</v>
      </c>
      <c r="F30" s="17" t="s">
        <v>218</v>
      </c>
    </row>
    <row r="31" spans="1:6" x14ac:dyDescent="0.3">
      <c r="B31" s="17" t="s">
        <v>68</v>
      </c>
      <c r="C31" s="17" t="s">
        <v>69</v>
      </c>
      <c r="D31" s="19">
        <v>0</v>
      </c>
      <c r="E31" s="19">
        <v>0</v>
      </c>
      <c r="F31" s="17" t="s">
        <v>218</v>
      </c>
    </row>
    <row r="32" spans="1:6" x14ac:dyDescent="0.3">
      <c r="B32" s="17" t="s">
        <v>70</v>
      </c>
      <c r="C32" s="17" t="s">
        <v>71</v>
      </c>
      <c r="D32" s="19">
        <v>1</v>
      </c>
      <c r="E32" s="19">
        <v>1</v>
      </c>
      <c r="F32" s="17" t="s">
        <v>218</v>
      </c>
    </row>
    <row r="33" spans="2:6" x14ac:dyDescent="0.3">
      <c r="B33" s="17" t="s">
        <v>72</v>
      </c>
      <c r="C33" s="17" t="s">
        <v>73</v>
      </c>
      <c r="D33" s="19">
        <v>0</v>
      </c>
      <c r="E33" s="19">
        <v>0</v>
      </c>
      <c r="F33" s="17" t="s">
        <v>218</v>
      </c>
    </row>
    <row r="34" spans="2:6" x14ac:dyDescent="0.3">
      <c r="B34" s="17" t="s">
        <v>74</v>
      </c>
      <c r="C34" s="17" t="s">
        <v>75</v>
      </c>
      <c r="D34" s="19">
        <v>1</v>
      </c>
      <c r="E34" s="19">
        <v>1</v>
      </c>
      <c r="F34" s="17" t="s">
        <v>218</v>
      </c>
    </row>
    <row r="35" spans="2:6" x14ac:dyDescent="0.3">
      <c r="B35" s="17" t="s">
        <v>76</v>
      </c>
      <c r="C35" s="17" t="s">
        <v>77</v>
      </c>
      <c r="D35" s="19">
        <v>0</v>
      </c>
      <c r="E35" s="19">
        <v>0</v>
      </c>
      <c r="F35" s="17" t="s">
        <v>218</v>
      </c>
    </row>
    <row r="36" spans="2:6" x14ac:dyDescent="0.3">
      <c r="B36" s="17" t="s">
        <v>78</v>
      </c>
      <c r="C36" s="17" t="s">
        <v>79</v>
      </c>
      <c r="D36" s="19">
        <v>0</v>
      </c>
      <c r="E36" s="19">
        <v>0</v>
      </c>
      <c r="F36" s="17" t="s">
        <v>218</v>
      </c>
    </row>
    <row r="37" spans="2:6" x14ac:dyDescent="0.3">
      <c r="B37" s="17" t="s">
        <v>80</v>
      </c>
      <c r="C37" s="17" t="s">
        <v>81</v>
      </c>
      <c r="D37" s="19">
        <v>0</v>
      </c>
      <c r="E37" s="19">
        <v>0</v>
      </c>
      <c r="F37" s="17" t="s">
        <v>218</v>
      </c>
    </row>
    <row r="38" spans="2:6" x14ac:dyDescent="0.3">
      <c r="B38" s="17" t="s">
        <v>82</v>
      </c>
      <c r="C38" s="17" t="s">
        <v>83</v>
      </c>
      <c r="D38" s="19">
        <v>1</v>
      </c>
      <c r="E38" s="19">
        <v>1</v>
      </c>
      <c r="F38" s="17" t="s">
        <v>218</v>
      </c>
    </row>
    <row r="39" spans="2:6" x14ac:dyDescent="0.3">
      <c r="B39" s="17" t="s">
        <v>84</v>
      </c>
      <c r="C39" s="17" t="s">
        <v>85</v>
      </c>
      <c r="D39" s="19">
        <v>0</v>
      </c>
      <c r="E39" s="19">
        <v>0</v>
      </c>
      <c r="F39" s="17" t="s">
        <v>218</v>
      </c>
    </row>
    <row r="40" spans="2:6" x14ac:dyDescent="0.3">
      <c r="B40" s="17" t="s">
        <v>86</v>
      </c>
      <c r="C40" s="17" t="s">
        <v>87</v>
      </c>
      <c r="D40" s="19">
        <v>1</v>
      </c>
      <c r="E40" s="19">
        <v>1</v>
      </c>
      <c r="F40" s="17" t="s">
        <v>218</v>
      </c>
    </row>
    <row r="41" spans="2:6" x14ac:dyDescent="0.3">
      <c r="B41" s="17" t="s">
        <v>88</v>
      </c>
      <c r="C41" s="17" t="s">
        <v>89</v>
      </c>
      <c r="D41" s="19">
        <v>1</v>
      </c>
      <c r="E41" s="19">
        <v>0</v>
      </c>
      <c r="F41" s="17" t="s">
        <v>218</v>
      </c>
    </row>
    <row r="42" spans="2:6" x14ac:dyDescent="0.3">
      <c r="B42" s="17" t="s">
        <v>90</v>
      </c>
      <c r="C42" s="17" t="s">
        <v>91</v>
      </c>
      <c r="D42" s="19">
        <v>0</v>
      </c>
      <c r="E42" s="19">
        <v>0</v>
      </c>
      <c r="F42" s="17" t="s">
        <v>218</v>
      </c>
    </row>
    <row r="43" spans="2:6" x14ac:dyDescent="0.3">
      <c r="B43" s="17" t="s">
        <v>92</v>
      </c>
      <c r="C43" s="17" t="s">
        <v>93</v>
      </c>
      <c r="D43" s="19">
        <v>0</v>
      </c>
      <c r="E43" s="19">
        <v>0</v>
      </c>
      <c r="F43" s="17" t="s">
        <v>218</v>
      </c>
    </row>
    <row r="44" spans="2:6" x14ac:dyDescent="0.3">
      <c r="B44" s="17" t="s">
        <v>94</v>
      </c>
      <c r="C44" s="17" t="s">
        <v>95</v>
      </c>
      <c r="D44" s="19">
        <v>0</v>
      </c>
      <c r="E44" s="19">
        <v>0</v>
      </c>
      <c r="F44" s="17" t="s">
        <v>218</v>
      </c>
    </row>
    <row r="45" spans="2:6" x14ac:dyDescent="0.3">
      <c r="B45" s="17" t="s">
        <v>96</v>
      </c>
      <c r="C45" s="17" t="s">
        <v>97</v>
      </c>
      <c r="D45" s="19">
        <v>0</v>
      </c>
      <c r="E45" s="19">
        <v>0</v>
      </c>
      <c r="F45" s="17" t="s">
        <v>218</v>
      </c>
    </row>
    <row r="46" spans="2:6" x14ac:dyDescent="0.3">
      <c r="B46" s="17" t="s">
        <v>98</v>
      </c>
      <c r="C46" s="17" t="s">
        <v>99</v>
      </c>
      <c r="D46" s="19">
        <v>1</v>
      </c>
      <c r="E46" s="19">
        <v>1</v>
      </c>
      <c r="F46" s="17" t="s">
        <v>218</v>
      </c>
    </row>
    <row r="47" spans="2:6" x14ac:dyDescent="0.3">
      <c r="B47" s="17" t="s">
        <v>100</v>
      </c>
      <c r="C47" s="17" t="s">
        <v>101</v>
      </c>
      <c r="D47" s="19">
        <v>0</v>
      </c>
      <c r="E47" s="19">
        <v>0</v>
      </c>
      <c r="F47" s="17" t="s">
        <v>218</v>
      </c>
    </row>
    <row r="48" spans="2:6" x14ac:dyDescent="0.3">
      <c r="B48" s="17" t="s">
        <v>102</v>
      </c>
      <c r="C48" s="17" t="s">
        <v>103</v>
      </c>
      <c r="D48" s="19">
        <v>0</v>
      </c>
      <c r="E48" s="19">
        <v>0</v>
      </c>
      <c r="F48" s="17" t="s">
        <v>218</v>
      </c>
    </row>
    <row r="49" spans="1:6" x14ac:dyDescent="0.3">
      <c r="B49" s="17" t="s">
        <v>104</v>
      </c>
      <c r="C49" s="17" t="s">
        <v>105</v>
      </c>
      <c r="D49" s="19">
        <v>0</v>
      </c>
      <c r="E49" s="19">
        <v>0</v>
      </c>
      <c r="F49" s="17" t="s">
        <v>218</v>
      </c>
    </row>
    <row r="50" spans="1:6" x14ac:dyDescent="0.3">
      <c r="B50" s="17" t="s">
        <v>106</v>
      </c>
      <c r="C50" s="17" t="s">
        <v>107</v>
      </c>
      <c r="D50" s="19">
        <v>1</v>
      </c>
      <c r="E50" s="19">
        <v>1</v>
      </c>
      <c r="F50" s="17" t="s">
        <v>218</v>
      </c>
    </row>
    <row r="51" spans="1:6" x14ac:dyDescent="0.3">
      <c r="B51" s="17" t="s">
        <v>108</v>
      </c>
      <c r="C51" s="17" t="s">
        <v>109</v>
      </c>
      <c r="D51" s="19">
        <v>0</v>
      </c>
      <c r="E51" s="19">
        <v>0</v>
      </c>
      <c r="F51" s="17" t="s">
        <v>218</v>
      </c>
    </row>
    <row r="52" spans="1:6" x14ac:dyDescent="0.3">
      <c r="B52" s="17" t="s">
        <v>110</v>
      </c>
      <c r="C52" s="17" t="s">
        <v>111</v>
      </c>
      <c r="D52" s="19">
        <v>0</v>
      </c>
      <c r="E52" s="19">
        <v>0</v>
      </c>
      <c r="F52" s="17" t="s">
        <v>218</v>
      </c>
    </row>
    <row r="53" spans="1:6" x14ac:dyDescent="0.3">
      <c r="B53" s="17" t="s">
        <v>112</v>
      </c>
      <c r="C53" s="17" t="s">
        <v>113</v>
      </c>
      <c r="D53" s="19">
        <v>0</v>
      </c>
      <c r="E53" s="19">
        <v>0</v>
      </c>
      <c r="F53" s="17" t="s">
        <v>218</v>
      </c>
    </row>
    <row r="54" spans="1:6" x14ac:dyDescent="0.3">
      <c r="B54" s="17" t="s">
        <v>114</v>
      </c>
      <c r="C54" s="17" t="s">
        <v>115</v>
      </c>
      <c r="D54" s="19">
        <v>0</v>
      </c>
      <c r="E54" s="19">
        <v>0</v>
      </c>
      <c r="F54" s="17" t="s">
        <v>218</v>
      </c>
    </row>
    <row r="55" spans="1:6" x14ac:dyDescent="0.3">
      <c r="B55" s="17" t="s">
        <v>116</v>
      </c>
      <c r="C55" s="17" t="s">
        <v>117</v>
      </c>
      <c r="D55" s="19">
        <v>1</v>
      </c>
      <c r="E55" s="19">
        <v>1</v>
      </c>
      <c r="F55" s="17" t="s">
        <v>218</v>
      </c>
    </row>
    <row r="56" spans="1:6" x14ac:dyDescent="0.3">
      <c r="B56" s="17" t="s">
        <v>118</v>
      </c>
      <c r="C56" s="17" t="s">
        <v>119</v>
      </c>
      <c r="D56" s="19">
        <v>0</v>
      </c>
      <c r="E56" s="19">
        <v>0</v>
      </c>
      <c r="F56" s="17" t="s">
        <v>218</v>
      </c>
    </row>
    <row r="57" spans="1:6" x14ac:dyDescent="0.3">
      <c r="B57" s="17" t="s">
        <v>120</v>
      </c>
      <c r="C57" s="17" t="s">
        <v>121</v>
      </c>
      <c r="D57" s="19">
        <v>0</v>
      </c>
      <c r="E57" s="19">
        <v>0</v>
      </c>
      <c r="F57" s="17" t="s">
        <v>218</v>
      </c>
    </row>
    <row r="58" spans="1:6" x14ac:dyDescent="0.3">
      <c r="B58" s="17" t="s">
        <v>122</v>
      </c>
      <c r="C58" s="17" t="s">
        <v>123</v>
      </c>
      <c r="D58" s="19">
        <v>0</v>
      </c>
      <c r="E58" s="19">
        <v>0</v>
      </c>
      <c r="F58" s="17" t="s">
        <v>218</v>
      </c>
    </row>
    <row r="59" spans="1:6" x14ac:dyDescent="0.3">
      <c r="B59" s="17" t="s">
        <v>124</v>
      </c>
      <c r="C59" s="17" t="s">
        <v>125</v>
      </c>
      <c r="D59" s="19">
        <v>1</v>
      </c>
      <c r="E59" s="19">
        <v>0</v>
      </c>
      <c r="F59" s="17" t="s">
        <v>218</v>
      </c>
    </row>
    <row r="60" spans="1:6" x14ac:dyDescent="0.3">
      <c r="B60" s="17" t="s">
        <v>126</v>
      </c>
      <c r="C60" s="17" t="s">
        <v>127</v>
      </c>
      <c r="D60" s="19">
        <v>1</v>
      </c>
      <c r="E60" s="19">
        <v>1</v>
      </c>
      <c r="F60" s="17" t="s">
        <v>218</v>
      </c>
    </row>
    <row r="61" spans="1:6" ht="15" thickBot="1" x14ac:dyDescent="0.35">
      <c r="B61" s="15" t="s">
        <v>128</v>
      </c>
      <c r="C61" s="15" t="s">
        <v>129</v>
      </c>
      <c r="D61" s="18">
        <v>1</v>
      </c>
      <c r="E61" s="18">
        <v>1</v>
      </c>
      <c r="F61" s="15" t="s">
        <v>218</v>
      </c>
    </row>
    <row r="64" spans="1:6" ht="15" thickBot="1" x14ac:dyDescent="0.35">
      <c r="A64" t="s">
        <v>40</v>
      </c>
    </row>
    <row r="65" spans="2:7" ht="15" thickBot="1" x14ac:dyDescent="0.35">
      <c r="B65" s="16" t="s">
        <v>34</v>
      </c>
      <c r="C65" s="16" t="s">
        <v>35</v>
      </c>
      <c r="D65" s="16" t="s">
        <v>41</v>
      </c>
      <c r="E65" s="16" t="s">
        <v>42</v>
      </c>
      <c r="F65" s="16" t="s">
        <v>43</v>
      </c>
      <c r="G65" s="16" t="s">
        <v>44</v>
      </c>
    </row>
    <row r="66" spans="2:7" x14ac:dyDescent="0.3">
      <c r="B66" s="17" t="s">
        <v>128</v>
      </c>
      <c r="C66" s="17" t="s">
        <v>129</v>
      </c>
      <c r="D66" s="19">
        <v>1</v>
      </c>
      <c r="E66" s="17" t="s">
        <v>130</v>
      </c>
      <c r="F66" s="17" t="s">
        <v>131</v>
      </c>
      <c r="G66" s="17">
        <v>0</v>
      </c>
    </row>
    <row r="67" spans="2:7" x14ac:dyDescent="0.3">
      <c r="B67" s="17" t="s">
        <v>132</v>
      </c>
      <c r="C67" s="17" t="s">
        <v>220</v>
      </c>
      <c r="D67" s="19">
        <v>1</v>
      </c>
      <c r="E67" s="17" t="s">
        <v>133</v>
      </c>
      <c r="F67" s="17" t="s">
        <v>131</v>
      </c>
      <c r="G67" s="17">
        <v>0</v>
      </c>
    </row>
    <row r="68" spans="2:7" x14ac:dyDescent="0.3">
      <c r="B68" s="17" t="s">
        <v>134</v>
      </c>
      <c r="C68" s="17" t="s">
        <v>221</v>
      </c>
      <c r="D68" s="19">
        <v>1</v>
      </c>
      <c r="E68" s="17" t="s">
        <v>135</v>
      </c>
      <c r="F68" s="17" t="s">
        <v>131</v>
      </c>
      <c r="G68" s="17">
        <v>0</v>
      </c>
    </row>
    <row r="69" spans="2:7" x14ac:dyDescent="0.3">
      <c r="B69" s="17" t="s">
        <v>136</v>
      </c>
      <c r="C69" s="17" t="s">
        <v>222</v>
      </c>
      <c r="D69" s="19">
        <v>1</v>
      </c>
      <c r="E69" s="17" t="s">
        <v>137</v>
      </c>
      <c r="F69" s="17" t="s">
        <v>131</v>
      </c>
      <c r="G69" s="17">
        <v>0</v>
      </c>
    </row>
    <row r="70" spans="2:7" x14ac:dyDescent="0.3">
      <c r="B70" s="17" t="s">
        <v>138</v>
      </c>
      <c r="C70" s="17" t="s">
        <v>223</v>
      </c>
      <c r="D70" s="19">
        <v>1</v>
      </c>
      <c r="E70" s="17" t="s">
        <v>139</v>
      </c>
      <c r="F70" s="17" t="s">
        <v>131</v>
      </c>
      <c r="G70" s="17">
        <v>0</v>
      </c>
    </row>
    <row r="71" spans="2:7" x14ac:dyDescent="0.3">
      <c r="B71" s="17" t="s">
        <v>140</v>
      </c>
      <c r="C71" s="17" t="s">
        <v>224</v>
      </c>
      <c r="D71" s="19">
        <v>1</v>
      </c>
      <c r="E71" s="17" t="s">
        <v>141</v>
      </c>
      <c r="F71" s="17" t="s">
        <v>131</v>
      </c>
      <c r="G71" s="17">
        <v>0</v>
      </c>
    </row>
    <row r="72" spans="2:7" x14ac:dyDescent="0.3">
      <c r="B72" s="17" t="s">
        <v>142</v>
      </c>
      <c r="C72" s="17" t="s">
        <v>225</v>
      </c>
      <c r="D72" s="19">
        <v>1</v>
      </c>
      <c r="E72" s="17" t="s">
        <v>143</v>
      </c>
      <c r="F72" s="17" t="s">
        <v>131</v>
      </c>
      <c r="G72" s="17">
        <v>0</v>
      </c>
    </row>
    <row r="73" spans="2:7" x14ac:dyDescent="0.3">
      <c r="B73" s="17" t="s">
        <v>144</v>
      </c>
      <c r="C73" s="17" t="s">
        <v>226</v>
      </c>
      <c r="D73" s="19">
        <v>1</v>
      </c>
      <c r="E73" s="17" t="s">
        <v>145</v>
      </c>
      <c r="F73" s="17" t="s">
        <v>131</v>
      </c>
      <c r="G73" s="17">
        <v>0</v>
      </c>
    </row>
    <row r="74" spans="2:7" x14ac:dyDescent="0.3">
      <c r="B74" s="17" t="s">
        <v>146</v>
      </c>
      <c r="C74" s="17" t="s">
        <v>227</v>
      </c>
      <c r="D74" s="19">
        <v>1</v>
      </c>
      <c r="E74" s="17" t="s">
        <v>147</v>
      </c>
      <c r="F74" s="17" t="s">
        <v>131</v>
      </c>
      <c r="G74" s="17">
        <v>0</v>
      </c>
    </row>
    <row r="75" spans="2:7" x14ac:dyDescent="0.3">
      <c r="B75" s="17" t="s">
        <v>148</v>
      </c>
      <c r="C75" s="17" t="s">
        <v>228</v>
      </c>
      <c r="D75" s="19">
        <v>1</v>
      </c>
      <c r="E75" s="17" t="s">
        <v>149</v>
      </c>
      <c r="F75" s="17" t="s">
        <v>131</v>
      </c>
      <c r="G75" s="17">
        <v>0</v>
      </c>
    </row>
    <row r="76" spans="2:7" x14ac:dyDescent="0.3">
      <c r="B76" s="17" t="s">
        <v>150</v>
      </c>
      <c r="C76" s="17" t="s">
        <v>229</v>
      </c>
      <c r="D76" s="19">
        <v>4</v>
      </c>
      <c r="E76" s="17" t="s">
        <v>151</v>
      </c>
      <c r="F76" s="17" t="s">
        <v>131</v>
      </c>
      <c r="G76" s="17">
        <v>0</v>
      </c>
    </row>
    <row r="77" spans="2:7" x14ac:dyDescent="0.3">
      <c r="B77" s="17" t="s">
        <v>152</v>
      </c>
      <c r="C77" s="17" t="s">
        <v>153</v>
      </c>
      <c r="D77" s="19">
        <v>5</v>
      </c>
      <c r="E77" s="17" t="s">
        <v>154</v>
      </c>
      <c r="F77" s="17" t="s">
        <v>155</v>
      </c>
      <c r="G77" s="19">
        <v>4</v>
      </c>
    </row>
    <row r="78" spans="2:7" x14ac:dyDescent="0.3">
      <c r="B78" s="17" t="s">
        <v>156</v>
      </c>
      <c r="C78" s="17" t="s">
        <v>157</v>
      </c>
      <c r="D78" s="19">
        <v>4</v>
      </c>
      <c r="E78" s="17" t="s">
        <v>158</v>
      </c>
      <c r="F78" s="17" t="s">
        <v>155</v>
      </c>
      <c r="G78" s="19">
        <v>3</v>
      </c>
    </row>
    <row r="79" spans="2:7" x14ac:dyDescent="0.3">
      <c r="B79" s="17" t="s">
        <v>159</v>
      </c>
      <c r="C79" s="17" t="s">
        <v>160</v>
      </c>
      <c r="D79" s="19">
        <v>2</v>
      </c>
      <c r="E79" s="17" t="s">
        <v>161</v>
      </c>
      <c r="F79" s="17" t="s">
        <v>155</v>
      </c>
      <c r="G79" s="19">
        <v>1</v>
      </c>
    </row>
    <row r="80" spans="2:7" x14ac:dyDescent="0.3">
      <c r="B80" s="17" t="s">
        <v>162</v>
      </c>
      <c r="C80" s="17" t="s">
        <v>163</v>
      </c>
      <c r="D80" s="19">
        <v>2</v>
      </c>
      <c r="E80" s="17" t="s">
        <v>164</v>
      </c>
      <c r="F80" s="17" t="s">
        <v>155</v>
      </c>
      <c r="G80" s="19">
        <v>1</v>
      </c>
    </row>
    <row r="81" spans="2:7" x14ac:dyDescent="0.3">
      <c r="B81" s="17" t="s">
        <v>165</v>
      </c>
      <c r="C81" s="17" t="s">
        <v>166</v>
      </c>
      <c r="D81" s="19">
        <v>1340</v>
      </c>
      <c r="E81" s="17" t="s">
        <v>167</v>
      </c>
      <c r="F81" s="17" t="s">
        <v>155</v>
      </c>
      <c r="G81" s="17">
        <v>1160</v>
      </c>
    </row>
    <row r="82" spans="2:7" x14ac:dyDescent="0.3">
      <c r="B82" s="17" t="s">
        <v>168</v>
      </c>
      <c r="C82" s="17" t="s">
        <v>169</v>
      </c>
      <c r="D82" s="19">
        <v>1150</v>
      </c>
      <c r="E82" s="17" t="s">
        <v>170</v>
      </c>
      <c r="F82" s="17" t="s">
        <v>155</v>
      </c>
      <c r="G82" s="17">
        <v>450</v>
      </c>
    </row>
    <row r="83" spans="2:7" x14ac:dyDescent="0.3">
      <c r="B83" s="17" t="s">
        <v>171</v>
      </c>
      <c r="C83" s="17" t="s">
        <v>172</v>
      </c>
      <c r="D83" s="19">
        <v>320</v>
      </c>
      <c r="E83" s="17" t="s">
        <v>173</v>
      </c>
      <c r="F83" s="17" t="s">
        <v>155</v>
      </c>
      <c r="G83" s="17">
        <v>880</v>
      </c>
    </row>
    <row r="84" spans="2:7" x14ac:dyDescent="0.3">
      <c r="B84" s="17" t="s">
        <v>174</v>
      </c>
      <c r="C84" s="17" t="s">
        <v>175</v>
      </c>
      <c r="D84" s="19">
        <v>170</v>
      </c>
      <c r="E84" s="17" t="s">
        <v>176</v>
      </c>
      <c r="F84" s="17" t="s">
        <v>155</v>
      </c>
      <c r="G84" s="17">
        <v>342</v>
      </c>
    </row>
    <row r="85" spans="2:7" x14ac:dyDescent="0.3">
      <c r="B85" s="17" t="s">
        <v>47</v>
      </c>
      <c r="C85" s="17" t="s">
        <v>48</v>
      </c>
      <c r="D85" s="19">
        <v>1</v>
      </c>
      <c r="E85" s="17" t="s">
        <v>177</v>
      </c>
      <c r="F85" s="17" t="s">
        <v>131</v>
      </c>
      <c r="G85" s="17">
        <v>0</v>
      </c>
    </row>
    <row r="86" spans="2:7" x14ac:dyDescent="0.3">
      <c r="B86" s="17" t="s">
        <v>50</v>
      </c>
      <c r="C86" s="17" t="s">
        <v>51</v>
      </c>
      <c r="D86" s="19">
        <v>0</v>
      </c>
      <c r="E86" s="17" t="s">
        <v>178</v>
      </c>
      <c r="F86" s="17" t="s">
        <v>131</v>
      </c>
      <c r="G86" s="17">
        <v>0</v>
      </c>
    </row>
    <row r="87" spans="2:7" x14ac:dyDescent="0.3">
      <c r="B87" s="17" t="s">
        <v>52</v>
      </c>
      <c r="C87" s="17" t="s">
        <v>53</v>
      </c>
      <c r="D87" s="19">
        <v>1</v>
      </c>
      <c r="E87" s="17" t="s">
        <v>179</v>
      </c>
      <c r="F87" s="17" t="s">
        <v>131</v>
      </c>
      <c r="G87" s="17">
        <v>0</v>
      </c>
    </row>
    <row r="88" spans="2:7" x14ac:dyDescent="0.3">
      <c r="B88" s="17" t="s">
        <v>54</v>
      </c>
      <c r="C88" s="17" t="s">
        <v>55</v>
      </c>
      <c r="D88" s="19">
        <v>0</v>
      </c>
      <c r="E88" s="17" t="s">
        <v>180</v>
      </c>
      <c r="F88" s="17" t="s">
        <v>131</v>
      </c>
      <c r="G88" s="17">
        <v>0</v>
      </c>
    </row>
    <row r="89" spans="2:7" x14ac:dyDescent="0.3">
      <c r="B89" s="17" t="s">
        <v>56</v>
      </c>
      <c r="C89" s="17" t="s">
        <v>57</v>
      </c>
      <c r="D89" s="19">
        <v>0</v>
      </c>
      <c r="E89" s="17" t="s">
        <v>181</v>
      </c>
      <c r="F89" s="17" t="s">
        <v>155</v>
      </c>
      <c r="G89" s="17">
        <v>1</v>
      </c>
    </row>
    <row r="90" spans="2:7" x14ac:dyDescent="0.3">
      <c r="B90" s="17" t="s">
        <v>58</v>
      </c>
      <c r="C90" s="17" t="s">
        <v>59</v>
      </c>
      <c r="D90" s="19">
        <v>0</v>
      </c>
      <c r="E90" s="17" t="s">
        <v>182</v>
      </c>
      <c r="F90" s="17" t="s">
        <v>131</v>
      </c>
      <c r="G90" s="17">
        <v>0</v>
      </c>
    </row>
    <row r="91" spans="2:7" x14ac:dyDescent="0.3">
      <c r="B91" s="17" t="s">
        <v>60</v>
      </c>
      <c r="C91" s="17" t="s">
        <v>61</v>
      </c>
      <c r="D91" s="19">
        <v>1</v>
      </c>
      <c r="E91" s="17" t="s">
        <v>183</v>
      </c>
      <c r="F91" s="17" t="s">
        <v>131</v>
      </c>
      <c r="G91" s="17">
        <v>0</v>
      </c>
    </row>
    <row r="92" spans="2:7" x14ac:dyDescent="0.3">
      <c r="B92" s="17" t="s">
        <v>62</v>
      </c>
      <c r="C92" s="17" t="s">
        <v>63</v>
      </c>
      <c r="D92" s="19">
        <v>0</v>
      </c>
      <c r="E92" s="17" t="s">
        <v>184</v>
      </c>
      <c r="F92" s="17" t="s">
        <v>131</v>
      </c>
      <c r="G92" s="17">
        <v>0</v>
      </c>
    </row>
    <row r="93" spans="2:7" x14ac:dyDescent="0.3">
      <c r="B93" s="17" t="s">
        <v>64</v>
      </c>
      <c r="C93" s="17" t="s">
        <v>65</v>
      </c>
      <c r="D93" s="19">
        <v>1</v>
      </c>
      <c r="E93" s="17" t="s">
        <v>185</v>
      </c>
      <c r="F93" s="17" t="s">
        <v>131</v>
      </c>
      <c r="G93" s="17">
        <v>0</v>
      </c>
    </row>
    <row r="94" spans="2:7" x14ac:dyDescent="0.3">
      <c r="B94" s="17" t="s">
        <v>66</v>
      </c>
      <c r="C94" s="17" t="s">
        <v>67</v>
      </c>
      <c r="D94" s="19">
        <v>1</v>
      </c>
      <c r="E94" s="17" t="s">
        <v>186</v>
      </c>
      <c r="F94" s="17" t="s">
        <v>131</v>
      </c>
      <c r="G94" s="17">
        <v>0</v>
      </c>
    </row>
    <row r="95" spans="2:7" x14ac:dyDescent="0.3">
      <c r="B95" s="17" t="s">
        <v>68</v>
      </c>
      <c r="C95" s="17" t="s">
        <v>69</v>
      </c>
      <c r="D95" s="19">
        <v>0</v>
      </c>
      <c r="E95" s="17" t="s">
        <v>187</v>
      </c>
      <c r="F95" s="17" t="s">
        <v>131</v>
      </c>
      <c r="G95" s="17">
        <v>0</v>
      </c>
    </row>
    <row r="96" spans="2:7" x14ac:dyDescent="0.3">
      <c r="B96" s="17" t="s">
        <v>70</v>
      </c>
      <c r="C96" s="17" t="s">
        <v>71</v>
      </c>
      <c r="D96" s="19">
        <v>1</v>
      </c>
      <c r="E96" s="17" t="s">
        <v>188</v>
      </c>
      <c r="F96" s="17" t="s">
        <v>131</v>
      </c>
      <c r="G96" s="17">
        <v>0</v>
      </c>
    </row>
    <row r="97" spans="2:7" x14ac:dyDescent="0.3">
      <c r="B97" s="17" t="s">
        <v>72</v>
      </c>
      <c r="C97" s="17" t="s">
        <v>73</v>
      </c>
      <c r="D97" s="19">
        <v>0</v>
      </c>
      <c r="E97" s="17" t="s">
        <v>189</v>
      </c>
      <c r="F97" s="17" t="s">
        <v>131</v>
      </c>
      <c r="G97" s="17">
        <v>0</v>
      </c>
    </row>
    <row r="98" spans="2:7" x14ac:dyDescent="0.3">
      <c r="B98" s="17" t="s">
        <v>74</v>
      </c>
      <c r="C98" s="17" t="s">
        <v>75</v>
      </c>
      <c r="D98" s="19">
        <v>1</v>
      </c>
      <c r="E98" s="17" t="s">
        <v>190</v>
      </c>
      <c r="F98" s="17" t="s">
        <v>131</v>
      </c>
      <c r="G98" s="17">
        <v>0</v>
      </c>
    </row>
    <row r="99" spans="2:7" x14ac:dyDescent="0.3">
      <c r="B99" s="17" t="s">
        <v>76</v>
      </c>
      <c r="C99" s="17" t="s">
        <v>77</v>
      </c>
      <c r="D99" s="19">
        <v>0</v>
      </c>
      <c r="E99" s="17" t="s">
        <v>191</v>
      </c>
      <c r="F99" s="17" t="s">
        <v>131</v>
      </c>
      <c r="G99" s="17">
        <v>0</v>
      </c>
    </row>
    <row r="100" spans="2:7" x14ac:dyDescent="0.3">
      <c r="B100" s="17" t="s">
        <v>78</v>
      </c>
      <c r="C100" s="17" t="s">
        <v>79</v>
      </c>
      <c r="D100" s="19">
        <v>0</v>
      </c>
      <c r="E100" s="17" t="s">
        <v>192</v>
      </c>
      <c r="F100" s="17" t="s">
        <v>131</v>
      </c>
      <c r="G100" s="17">
        <v>0</v>
      </c>
    </row>
    <row r="101" spans="2:7" x14ac:dyDescent="0.3">
      <c r="B101" s="17" t="s">
        <v>80</v>
      </c>
      <c r="C101" s="17" t="s">
        <v>81</v>
      </c>
      <c r="D101" s="19">
        <v>0</v>
      </c>
      <c r="E101" s="17" t="s">
        <v>193</v>
      </c>
      <c r="F101" s="17" t="s">
        <v>155</v>
      </c>
      <c r="G101" s="17">
        <v>1</v>
      </c>
    </row>
    <row r="102" spans="2:7" x14ac:dyDescent="0.3">
      <c r="B102" s="17" t="s">
        <v>82</v>
      </c>
      <c r="C102" s="17" t="s">
        <v>83</v>
      </c>
      <c r="D102" s="19">
        <v>1</v>
      </c>
      <c r="E102" s="17" t="s">
        <v>194</v>
      </c>
      <c r="F102" s="17" t="s">
        <v>131</v>
      </c>
      <c r="G102" s="17">
        <v>0</v>
      </c>
    </row>
    <row r="103" spans="2:7" x14ac:dyDescent="0.3">
      <c r="B103" s="17" t="s">
        <v>84</v>
      </c>
      <c r="C103" s="17" t="s">
        <v>85</v>
      </c>
      <c r="D103" s="19">
        <v>0</v>
      </c>
      <c r="E103" s="17" t="s">
        <v>195</v>
      </c>
      <c r="F103" s="17" t="s">
        <v>131</v>
      </c>
      <c r="G103" s="17">
        <v>0</v>
      </c>
    </row>
    <row r="104" spans="2:7" x14ac:dyDescent="0.3">
      <c r="B104" s="17" t="s">
        <v>86</v>
      </c>
      <c r="C104" s="17" t="s">
        <v>87</v>
      </c>
      <c r="D104" s="19">
        <v>1</v>
      </c>
      <c r="E104" s="17" t="s">
        <v>196</v>
      </c>
      <c r="F104" s="17" t="s">
        <v>131</v>
      </c>
      <c r="G104" s="17">
        <v>0</v>
      </c>
    </row>
    <row r="105" spans="2:7" x14ac:dyDescent="0.3">
      <c r="B105" s="17" t="s">
        <v>88</v>
      </c>
      <c r="C105" s="17" t="s">
        <v>89</v>
      </c>
      <c r="D105" s="19">
        <v>0</v>
      </c>
      <c r="E105" s="17" t="s">
        <v>197</v>
      </c>
      <c r="F105" s="17" t="s">
        <v>155</v>
      </c>
      <c r="G105" s="17">
        <v>1</v>
      </c>
    </row>
    <row r="106" spans="2:7" x14ac:dyDescent="0.3">
      <c r="B106" s="17" t="s">
        <v>90</v>
      </c>
      <c r="C106" s="17" t="s">
        <v>91</v>
      </c>
      <c r="D106" s="19">
        <v>0</v>
      </c>
      <c r="E106" s="17" t="s">
        <v>198</v>
      </c>
      <c r="F106" s="17" t="s">
        <v>155</v>
      </c>
      <c r="G106" s="17">
        <v>1</v>
      </c>
    </row>
    <row r="107" spans="2:7" x14ac:dyDescent="0.3">
      <c r="B107" s="17" t="s">
        <v>92</v>
      </c>
      <c r="C107" s="17" t="s">
        <v>93</v>
      </c>
      <c r="D107" s="19">
        <v>0</v>
      </c>
      <c r="E107" s="17" t="s">
        <v>199</v>
      </c>
      <c r="F107" s="17" t="s">
        <v>131</v>
      </c>
      <c r="G107" s="17">
        <v>0</v>
      </c>
    </row>
    <row r="108" spans="2:7" x14ac:dyDescent="0.3">
      <c r="B108" s="17" t="s">
        <v>94</v>
      </c>
      <c r="C108" s="17" t="s">
        <v>95</v>
      </c>
      <c r="D108" s="19">
        <v>0</v>
      </c>
      <c r="E108" s="17" t="s">
        <v>200</v>
      </c>
      <c r="F108" s="17" t="s">
        <v>155</v>
      </c>
      <c r="G108" s="17">
        <v>1</v>
      </c>
    </row>
    <row r="109" spans="2:7" x14ac:dyDescent="0.3">
      <c r="B109" s="17" t="s">
        <v>96</v>
      </c>
      <c r="C109" s="17" t="s">
        <v>97</v>
      </c>
      <c r="D109" s="19">
        <v>0</v>
      </c>
      <c r="E109" s="17" t="s">
        <v>201</v>
      </c>
      <c r="F109" s="17" t="s">
        <v>131</v>
      </c>
      <c r="G109" s="17">
        <v>0</v>
      </c>
    </row>
    <row r="110" spans="2:7" x14ac:dyDescent="0.3">
      <c r="B110" s="17" t="s">
        <v>98</v>
      </c>
      <c r="C110" s="17" t="s">
        <v>99</v>
      </c>
      <c r="D110" s="19">
        <v>1</v>
      </c>
      <c r="E110" s="17" t="s">
        <v>202</v>
      </c>
      <c r="F110" s="17" t="s">
        <v>131</v>
      </c>
      <c r="G110" s="17">
        <v>0</v>
      </c>
    </row>
    <row r="111" spans="2:7" x14ac:dyDescent="0.3">
      <c r="B111" s="17" t="s">
        <v>100</v>
      </c>
      <c r="C111" s="17" t="s">
        <v>101</v>
      </c>
      <c r="D111" s="19">
        <v>0</v>
      </c>
      <c r="E111" s="17" t="s">
        <v>203</v>
      </c>
      <c r="F111" s="17" t="s">
        <v>131</v>
      </c>
      <c r="G111" s="17">
        <v>0</v>
      </c>
    </row>
    <row r="112" spans="2:7" x14ac:dyDescent="0.3">
      <c r="B112" s="17" t="s">
        <v>102</v>
      </c>
      <c r="C112" s="17" t="s">
        <v>103</v>
      </c>
      <c r="D112" s="19">
        <v>0</v>
      </c>
      <c r="E112" s="17" t="s">
        <v>204</v>
      </c>
      <c r="F112" s="17" t="s">
        <v>131</v>
      </c>
      <c r="G112" s="17">
        <v>0</v>
      </c>
    </row>
    <row r="113" spans="2:7" x14ac:dyDescent="0.3">
      <c r="B113" s="17" t="s">
        <v>104</v>
      </c>
      <c r="C113" s="17" t="s">
        <v>105</v>
      </c>
      <c r="D113" s="19">
        <v>0</v>
      </c>
      <c r="E113" s="17" t="s">
        <v>205</v>
      </c>
      <c r="F113" s="17" t="s">
        <v>155</v>
      </c>
      <c r="G113" s="17">
        <v>1</v>
      </c>
    </row>
    <row r="114" spans="2:7" x14ac:dyDescent="0.3">
      <c r="B114" s="17" t="s">
        <v>106</v>
      </c>
      <c r="C114" s="17" t="s">
        <v>107</v>
      </c>
      <c r="D114" s="19">
        <v>1</v>
      </c>
      <c r="E114" s="17" t="s">
        <v>206</v>
      </c>
      <c r="F114" s="17" t="s">
        <v>131</v>
      </c>
      <c r="G114" s="17">
        <v>0</v>
      </c>
    </row>
    <row r="115" spans="2:7" x14ac:dyDescent="0.3">
      <c r="B115" s="17" t="s">
        <v>108</v>
      </c>
      <c r="C115" s="17" t="s">
        <v>109</v>
      </c>
      <c r="D115" s="19">
        <v>0</v>
      </c>
      <c r="E115" s="17" t="s">
        <v>207</v>
      </c>
      <c r="F115" s="17" t="s">
        <v>155</v>
      </c>
      <c r="G115" s="17">
        <v>1</v>
      </c>
    </row>
    <row r="116" spans="2:7" x14ac:dyDescent="0.3">
      <c r="B116" s="17" t="s">
        <v>110</v>
      </c>
      <c r="C116" s="17" t="s">
        <v>111</v>
      </c>
      <c r="D116" s="19">
        <v>0</v>
      </c>
      <c r="E116" s="17" t="s">
        <v>208</v>
      </c>
      <c r="F116" s="17" t="s">
        <v>131</v>
      </c>
      <c r="G116" s="17">
        <v>0</v>
      </c>
    </row>
    <row r="117" spans="2:7" x14ac:dyDescent="0.3">
      <c r="B117" s="17" t="s">
        <v>112</v>
      </c>
      <c r="C117" s="17" t="s">
        <v>113</v>
      </c>
      <c r="D117" s="19">
        <v>0</v>
      </c>
      <c r="E117" s="17" t="s">
        <v>209</v>
      </c>
      <c r="F117" s="17" t="s">
        <v>155</v>
      </c>
      <c r="G117" s="17">
        <v>1</v>
      </c>
    </row>
    <row r="118" spans="2:7" x14ac:dyDescent="0.3">
      <c r="B118" s="17" t="s">
        <v>114</v>
      </c>
      <c r="C118" s="17" t="s">
        <v>115</v>
      </c>
      <c r="D118" s="19">
        <v>0</v>
      </c>
      <c r="E118" s="17" t="s">
        <v>210</v>
      </c>
      <c r="F118" s="17" t="s">
        <v>131</v>
      </c>
      <c r="G118" s="17">
        <v>0</v>
      </c>
    </row>
    <row r="119" spans="2:7" x14ac:dyDescent="0.3">
      <c r="B119" s="17" t="s">
        <v>116</v>
      </c>
      <c r="C119" s="17" t="s">
        <v>117</v>
      </c>
      <c r="D119" s="19">
        <v>1</v>
      </c>
      <c r="E119" s="17" t="s">
        <v>211</v>
      </c>
      <c r="F119" s="17" t="s">
        <v>131</v>
      </c>
      <c r="G119" s="17">
        <v>0</v>
      </c>
    </row>
    <row r="120" spans="2:7" x14ac:dyDescent="0.3">
      <c r="B120" s="17" t="s">
        <v>118</v>
      </c>
      <c r="C120" s="17" t="s">
        <v>119</v>
      </c>
      <c r="D120" s="19">
        <v>0</v>
      </c>
      <c r="E120" s="17" t="s">
        <v>212</v>
      </c>
      <c r="F120" s="17" t="s">
        <v>131</v>
      </c>
      <c r="G120" s="17">
        <v>0</v>
      </c>
    </row>
    <row r="121" spans="2:7" x14ac:dyDescent="0.3">
      <c r="B121" s="17" t="s">
        <v>120</v>
      </c>
      <c r="C121" s="17" t="s">
        <v>121</v>
      </c>
      <c r="D121" s="19">
        <v>0</v>
      </c>
      <c r="E121" s="17" t="s">
        <v>213</v>
      </c>
      <c r="F121" s="17" t="s">
        <v>131</v>
      </c>
      <c r="G121" s="17">
        <v>0</v>
      </c>
    </row>
    <row r="122" spans="2:7" x14ac:dyDescent="0.3">
      <c r="B122" s="17" t="s">
        <v>122</v>
      </c>
      <c r="C122" s="17" t="s">
        <v>123</v>
      </c>
      <c r="D122" s="19">
        <v>0</v>
      </c>
      <c r="E122" s="17" t="s">
        <v>214</v>
      </c>
      <c r="F122" s="17" t="s">
        <v>131</v>
      </c>
      <c r="G122" s="17">
        <v>0</v>
      </c>
    </row>
    <row r="123" spans="2:7" x14ac:dyDescent="0.3">
      <c r="B123" s="17" t="s">
        <v>124</v>
      </c>
      <c r="C123" s="17" t="s">
        <v>125</v>
      </c>
      <c r="D123" s="19">
        <v>0</v>
      </c>
      <c r="E123" s="17" t="s">
        <v>215</v>
      </c>
      <c r="F123" s="17" t="s">
        <v>155</v>
      </c>
      <c r="G123" s="17">
        <v>1</v>
      </c>
    </row>
    <row r="124" spans="2:7" x14ac:dyDescent="0.3">
      <c r="B124" s="17" t="s">
        <v>126</v>
      </c>
      <c r="C124" s="17" t="s">
        <v>127</v>
      </c>
      <c r="D124" s="19">
        <v>1</v>
      </c>
      <c r="E124" s="17" t="s">
        <v>216</v>
      </c>
      <c r="F124" s="17" t="s">
        <v>131</v>
      </c>
      <c r="G124" s="17">
        <v>0</v>
      </c>
    </row>
    <row r="125" spans="2:7" x14ac:dyDescent="0.3">
      <c r="B125" s="17" t="s">
        <v>217</v>
      </c>
      <c r="C125" s="17"/>
      <c r="D125" s="17"/>
      <c r="E125" s="17"/>
      <c r="F125" s="17"/>
      <c r="G125" s="17"/>
    </row>
    <row r="126" spans="2:7" ht="15" thickBot="1" x14ac:dyDescent="0.35">
      <c r="B126" s="15" t="s">
        <v>231</v>
      </c>
      <c r="C126" s="15"/>
      <c r="D126" s="15"/>
      <c r="E126" s="15"/>
      <c r="F126" s="15"/>
      <c r="G12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showGridLines="0" workbookViewId="0"/>
  </sheetViews>
  <sheetFormatPr defaultRowHeight="14.4" x14ac:dyDescent="0.3"/>
  <cols>
    <col min="1" max="1" width="2.33203125" customWidth="1"/>
    <col min="2" max="2" width="6.109375" customWidth="1"/>
    <col min="3" max="3" width="19.6640625" customWidth="1"/>
    <col min="4" max="4" width="12.6640625" bestFit="1" customWidth="1"/>
    <col min="5" max="5" width="13.33203125" bestFit="1" customWidth="1"/>
    <col min="6" max="6" width="10.44140625" customWidth="1"/>
    <col min="7" max="7" width="5.33203125" customWidth="1"/>
  </cols>
  <sheetData>
    <row r="1" spans="1:5" x14ac:dyDescent="0.3">
      <c r="A1" s="14" t="s">
        <v>25</v>
      </c>
    </row>
    <row r="2" spans="1:5" x14ac:dyDescent="0.3">
      <c r="A2" s="14" t="s">
        <v>26</v>
      </c>
    </row>
    <row r="3" spans="1:5" x14ac:dyDescent="0.3">
      <c r="A3" s="14" t="s">
        <v>239</v>
      </c>
    </row>
    <row r="4" spans="1:5" x14ac:dyDescent="0.3">
      <c r="A4" s="14" t="s">
        <v>27</v>
      </c>
    </row>
    <row r="5" spans="1:5" x14ac:dyDescent="0.3">
      <c r="A5" s="14" t="s">
        <v>28</v>
      </c>
    </row>
    <row r="6" spans="1:5" x14ac:dyDescent="0.3">
      <c r="A6" s="14"/>
      <c r="B6" t="s">
        <v>29</v>
      </c>
    </row>
    <row r="7" spans="1:5" x14ac:dyDescent="0.3">
      <c r="A7" s="14"/>
      <c r="B7" t="s">
        <v>233</v>
      </c>
    </row>
    <row r="8" spans="1:5" x14ac:dyDescent="0.3">
      <c r="A8" s="14"/>
      <c r="B8" t="s">
        <v>30</v>
      </c>
    </row>
    <row r="9" spans="1:5" x14ac:dyDescent="0.3">
      <c r="A9" s="14" t="s">
        <v>31</v>
      </c>
    </row>
    <row r="10" spans="1:5" x14ac:dyDescent="0.3">
      <c r="B10" t="s">
        <v>230</v>
      </c>
    </row>
    <row r="11" spans="1:5" x14ac:dyDescent="0.3">
      <c r="B11" t="s">
        <v>32</v>
      </c>
    </row>
    <row r="14" spans="1:5" ht="15" thickBot="1" x14ac:dyDescent="0.35">
      <c r="A14" t="s">
        <v>33</v>
      </c>
    </row>
    <row r="15" spans="1:5" ht="15" thickBot="1" x14ac:dyDescent="0.35">
      <c r="B15" s="16" t="s">
        <v>34</v>
      </c>
      <c r="C15" s="16" t="s">
        <v>35</v>
      </c>
      <c r="D15" s="16" t="s">
        <v>36</v>
      </c>
      <c r="E15" s="16" t="s">
        <v>37</v>
      </c>
    </row>
    <row r="16" spans="1:5" ht="15" thickBot="1" x14ac:dyDescent="0.35">
      <c r="B16" s="15" t="s">
        <v>45</v>
      </c>
      <c r="C16" s="15" t="s">
        <v>46</v>
      </c>
      <c r="D16" s="18">
        <v>720</v>
      </c>
      <c r="E16" s="18">
        <v>720</v>
      </c>
    </row>
    <row r="19" spans="1:6" ht="15" thickBot="1" x14ac:dyDescent="0.35">
      <c r="A19" t="s">
        <v>38</v>
      </c>
    </row>
    <row r="20" spans="1:6" ht="15" thickBot="1" x14ac:dyDescent="0.35">
      <c r="B20" s="16" t="s">
        <v>34</v>
      </c>
      <c r="C20" s="16" t="s">
        <v>35</v>
      </c>
      <c r="D20" s="16" t="s">
        <v>36</v>
      </c>
      <c r="E20" s="16" t="s">
        <v>37</v>
      </c>
      <c r="F20" s="16" t="s">
        <v>39</v>
      </c>
    </row>
    <row r="21" spans="1:6" x14ac:dyDescent="0.3">
      <c r="B21" s="17" t="s">
        <v>47</v>
      </c>
      <c r="C21" s="17" t="s">
        <v>48</v>
      </c>
      <c r="D21" s="19">
        <v>1</v>
      </c>
      <c r="E21" s="19">
        <v>1</v>
      </c>
      <c r="F21" s="17" t="s">
        <v>49</v>
      </c>
    </row>
    <row r="22" spans="1:6" x14ac:dyDescent="0.3">
      <c r="B22" s="17" t="s">
        <v>50</v>
      </c>
      <c r="C22" s="17" t="s">
        <v>51</v>
      </c>
      <c r="D22" s="19">
        <v>0</v>
      </c>
      <c r="E22" s="19">
        <v>0</v>
      </c>
      <c r="F22" s="17" t="s">
        <v>49</v>
      </c>
    </row>
    <row r="23" spans="1:6" x14ac:dyDescent="0.3">
      <c r="B23" s="17" t="s">
        <v>52</v>
      </c>
      <c r="C23" s="17" t="s">
        <v>53</v>
      </c>
      <c r="D23" s="19">
        <v>1</v>
      </c>
      <c r="E23" s="19">
        <v>1</v>
      </c>
      <c r="F23" s="17" t="s">
        <v>49</v>
      </c>
    </row>
    <row r="24" spans="1:6" x14ac:dyDescent="0.3">
      <c r="B24" s="17" t="s">
        <v>54</v>
      </c>
      <c r="C24" s="17" t="s">
        <v>55</v>
      </c>
      <c r="D24" s="19">
        <v>0</v>
      </c>
      <c r="E24" s="19">
        <v>0</v>
      </c>
      <c r="F24" s="17" t="s">
        <v>49</v>
      </c>
    </row>
    <row r="25" spans="1:6" x14ac:dyDescent="0.3">
      <c r="B25" s="17" t="s">
        <v>56</v>
      </c>
      <c r="C25" s="17" t="s">
        <v>57</v>
      </c>
      <c r="D25" s="19">
        <v>0</v>
      </c>
      <c r="E25" s="19">
        <v>0</v>
      </c>
      <c r="F25" s="17" t="s">
        <v>49</v>
      </c>
    </row>
    <row r="26" spans="1:6" x14ac:dyDescent="0.3">
      <c r="B26" s="17" t="s">
        <v>58</v>
      </c>
      <c r="C26" s="17" t="s">
        <v>59</v>
      </c>
      <c r="D26" s="19">
        <v>0</v>
      </c>
      <c r="E26" s="19">
        <v>0</v>
      </c>
      <c r="F26" s="17" t="s">
        <v>49</v>
      </c>
    </row>
    <row r="27" spans="1:6" x14ac:dyDescent="0.3">
      <c r="B27" s="17" t="s">
        <v>60</v>
      </c>
      <c r="C27" s="17" t="s">
        <v>61</v>
      </c>
      <c r="D27" s="19">
        <v>1</v>
      </c>
      <c r="E27" s="19">
        <v>1</v>
      </c>
      <c r="F27" s="17" t="s">
        <v>49</v>
      </c>
    </row>
    <row r="28" spans="1:6" x14ac:dyDescent="0.3">
      <c r="B28" s="17" t="s">
        <v>62</v>
      </c>
      <c r="C28" s="17" t="s">
        <v>63</v>
      </c>
      <c r="D28" s="19">
        <v>0</v>
      </c>
      <c r="E28" s="19">
        <v>0</v>
      </c>
      <c r="F28" s="17" t="s">
        <v>49</v>
      </c>
    </row>
    <row r="29" spans="1:6" x14ac:dyDescent="0.3">
      <c r="B29" s="17" t="s">
        <v>64</v>
      </c>
      <c r="C29" s="17" t="s">
        <v>65</v>
      </c>
      <c r="D29" s="19">
        <v>1</v>
      </c>
      <c r="E29" s="19">
        <v>1</v>
      </c>
      <c r="F29" s="17" t="s">
        <v>49</v>
      </c>
    </row>
    <row r="30" spans="1:6" x14ac:dyDescent="0.3">
      <c r="B30" s="17" t="s">
        <v>66</v>
      </c>
      <c r="C30" s="17" t="s">
        <v>67</v>
      </c>
      <c r="D30" s="19">
        <v>1</v>
      </c>
      <c r="E30" s="19">
        <v>1</v>
      </c>
      <c r="F30" s="17" t="s">
        <v>49</v>
      </c>
    </row>
    <row r="31" spans="1:6" x14ac:dyDescent="0.3">
      <c r="B31" s="17" t="s">
        <v>68</v>
      </c>
      <c r="C31" s="17" t="s">
        <v>69</v>
      </c>
      <c r="D31" s="19">
        <v>0</v>
      </c>
      <c r="E31" s="19">
        <v>0</v>
      </c>
      <c r="F31" s="17" t="s">
        <v>49</v>
      </c>
    </row>
    <row r="32" spans="1:6" x14ac:dyDescent="0.3">
      <c r="B32" s="17" t="s">
        <v>70</v>
      </c>
      <c r="C32" s="17" t="s">
        <v>71</v>
      </c>
      <c r="D32" s="19">
        <v>1</v>
      </c>
      <c r="E32" s="19">
        <v>1</v>
      </c>
      <c r="F32" s="17" t="s">
        <v>49</v>
      </c>
    </row>
    <row r="33" spans="2:6" x14ac:dyDescent="0.3">
      <c r="B33" s="17" t="s">
        <v>72</v>
      </c>
      <c r="C33" s="17" t="s">
        <v>73</v>
      </c>
      <c r="D33" s="19">
        <v>0</v>
      </c>
      <c r="E33" s="19">
        <v>0</v>
      </c>
      <c r="F33" s="17" t="s">
        <v>49</v>
      </c>
    </row>
    <row r="34" spans="2:6" x14ac:dyDescent="0.3">
      <c r="B34" s="17" t="s">
        <v>74</v>
      </c>
      <c r="C34" s="17" t="s">
        <v>75</v>
      </c>
      <c r="D34" s="19">
        <v>1</v>
      </c>
      <c r="E34" s="19">
        <v>1</v>
      </c>
      <c r="F34" s="17" t="s">
        <v>49</v>
      </c>
    </row>
    <row r="35" spans="2:6" x14ac:dyDescent="0.3">
      <c r="B35" s="17" t="s">
        <v>76</v>
      </c>
      <c r="C35" s="17" t="s">
        <v>77</v>
      </c>
      <c r="D35" s="19">
        <v>0</v>
      </c>
      <c r="E35" s="19">
        <v>0</v>
      </c>
      <c r="F35" s="17" t="s">
        <v>49</v>
      </c>
    </row>
    <row r="36" spans="2:6" x14ac:dyDescent="0.3">
      <c r="B36" s="17" t="s">
        <v>78</v>
      </c>
      <c r="C36" s="17" t="s">
        <v>79</v>
      </c>
      <c r="D36" s="19">
        <v>0</v>
      </c>
      <c r="E36" s="19">
        <v>0</v>
      </c>
      <c r="F36" s="17" t="s">
        <v>49</v>
      </c>
    </row>
    <row r="37" spans="2:6" x14ac:dyDescent="0.3">
      <c r="B37" s="17" t="s">
        <v>80</v>
      </c>
      <c r="C37" s="17" t="s">
        <v>81</v>
      </c>
      <c r="D37" s="19">
        <v>0</v>
      </c>
      <c r="E37" s="19">
        <v>0</v>
      </c>
      <c r="F37" s="17" t="s">
        <v>49</v>
      </c>
    </row>
    <row r="38" spans="2:6" x14ac:dyDescent="0.3">
      <c r="B38" s="17" t="s">
        <v>82</v>
      </c>
      <c r="C38" s="17" t="s">
        <v>83</v>
      </c>
      <c r="D38" s="19">
        <v>1</v>
      </c>
      <c r="E38" s="19">
        <v>1</v>
      </c>
      <c r="F38" s="17" t="s">
        <v>49</v>
      </c>
    </row>
    <row r="39" spans="2:6" x14ac:dyDescent="0.3">
      <c r="B39" s="17" t="s">
        <v>84</v>
      </c>
      <c r="C39" s="17" t="s">
        <v>85</v>
      </c>
      <c r="D39" s="19">
        <v>0</v>
      </c>
      <c r="E39" s="19">
        <v>0</v>
      </c>
      <c r="F39" s="17" t="s">
        <v>49</v>
      </c>
    </row>
    <row r="40" spans="2:6" x14ac:dyDescent="0.3">
      <c r="B40" s="17" t="s">
        <v>86</v>
      </c>
      <c r="C40" s="17" t="s">
        <v>87</v>
      </c>
      <c r="D40" s="19">
        <v>1</v>
      </c>
      <c r="E40" s="19">
        <v>1</v>
      </c>
      <c r="F40" s="17" t="s">
        <v>49</v>
      </c>
    </row>
    <row r="41" spans="2:6" x14ac:dyDescent="0.3">
      <c r="B41" s="17" t="s">
        <v>88</v>
      </c>
      <c r="C41" s="17" t="s">
        <v>89</v>
      </c>
      <c r="D41" s="19">
        <v>0</v>
      </c>
      <c r="E41" s="19">
        <v>0</v>
      </c>
      <c r="F41" s="17" t="s">
        <v>49</v>
      </c>
    </row>
    <row r="42" spans="2:6" x14ac:dyDescent="0.3">
      <c r="B42" s="17" t="s">
        <v>90</v>
      </c>
      <c r="C42" s="17" t="s">
        <v>91</v>
      </c>
      <c r="D42" s="19">
        <v>0</v>
      </c>
      <c r="E42" s="19">
        <v>0</v>
      </c>
      <c r="F42" s="17" t="s">
        <v>49</v>
      </c>
    </row>
    <row r="43" spans="2:6" x14ac:dyDescent="0.3">
      <c r="B43" s="17" t="s">
        <v>92</v>
      </c>
      <c r="C43" s="17" t="s">
        <v>93</v>
      </c>
      <c r="D43" s="19">
        <v>0</v>
      </c>
      <c r="E43" s="19">
        <v>0</v>
      </c>
      <c r="F43" s="17" t="s">
        <v>49</v>
      </c>
    </row>
    <row r="44" spans="2:6" x14ac:dyDescent="0.3">
      <c r="B44" s="17" t="s">
        <v>94</v>
      </c>
      <c r="C44" s="17" t="s">
        <v>95</v>
      </c>
      <c r="D44" s="19">
        <v>0</v>
      </c>
      <c r="E44" s="19">
        <v>0</v>
      </c>
      <c r="F44" s="17" t="s">
        <v>49</v>
      </c>
    </row>
    <row r="45" spans="2:6" x14ac:dyDescent="0.3">
      <c r="B45" s="17" t="s">
        <v>96</v>
      </c>
      <c r="C45" s="17" t="s">
        <v>97</v>
      </c>
      <c r="D45" s="19">
        <v>0</v>
      </c>
      <c r="E45" s="19">
        <v>0</v>
      </c>
      <c r="F45" s="17" t="s">
        <v>49</v>
      </c>
    </row>
    <row r="46" spans="2:6" x14ac:dyDescent="0.3">
      <c r="B46" s="17" t="s">
        <v>98</v>
      </c>
      <c r="C46" s="17" t="s">
        <v>99</v>
      </c>
      <c r="D46" s="19">
        <v>1</v>
      </c>
      <c r="E46" s="19">
        <v>1</v>
      </c>
      <c r="F46" s="17" t="s">
        <v>49</v>
      </c>
    </row>
    <row r="47" spans="2:6" x14ac:dyDescent="0.3">
      <c r="B47" s="17" t="s">
        <v>100</v>
      </c>
      <c r="C47" s="17" t="s">
        <v>101</v>
      </c>
      <c r="D47" s="19">
        <v>0</v>
      </c>
      <c r="E47" s="19">
        <v>0</v>
      </c>
      <c r="F47" s="17" t="s">
        <v>49</v>
      </c>
    </row>
    <row r="48" spans="2:6" x14ac:dyDescent="0.3">
      <c r="B48" s="17" t="s">
        <v>102</v>
      </c>
      <c r="C48" s="17" t="s">
        <v>103</v>
      </c>
      <c r="D48" s="19">
        <v>0</v>
      </c>
      <c r="E48" s="19">
        <v>0</v>
      </c>
      <c r="F48" s="17" t="s">
        <v>49</v>
      </c>
    </row>
    <row r="49" spans="1:6" x14ac:dyDescent="0.3">
      <c r="B49" s="17" t="s">
        <v>104</v>
      </c>
      <c r="C49" s="17" t="s">
        <v>105</v>
      </c>
      <c r="D49" s="19">
        <v>0</v>
      </c>
      <c r="E49" s="19">
        <v>0</v>
      </c>
      <c r="F49" s="17" t="s">
        <v>49</v>
      </c>
    </row>
    <row r="50" spans="1:6" x14ac:dyDescent="0.3">
      <c r="B50" s="17" t="s">
        <v>106</v>
      </c>
      <c r="C50" s="17" t="s">
        <v>107</v>
      </c>
      <c r="D50" s="19">
        <v>1</v>
      </c>
      <c r="E50" s="19">
        <v>1</v>
      </c>
      <c r="F50" s="17" t="s">
        <v>49</v>
      </c>
    </row>
    <row r="51" spans="1:6" x14ac:dyDescent="0.3">
      <c r="B51" s="17" t="s">
        <v>108</v>
      </c>
      <c r="C51" s="17" t="s">
        <v>109</v>
      </c>
      <c r="D51" s="19">
        <v>0</v>
      </c>
      <c r="E51" s="19">
        <v>0</v>
      </c>
      <c r="F51" s="17" t="s">
        <v>49</v>
      </c>
    </row>
    <row r="52" spans="1:6" x14ac:dyDescent="0.3">
      <c r="B52" s="17" t="s">
        <v>110</v>
      </c>
      <c r="C52" s="17" t="s">
        <v>111</v>
      </c>
      <c r="D52" s="19">
        <v>0</v>
      </c>
      <c r="E52" s="19">
        <v>0</v>
      </c>
      <c r="F52" s="17" t="s">
        <v>49</v>
      </c>
    </row>
    <row r="53" spans="1:6" x14ac:dyDescent="0.3">
      <c r="B53" s="17" t="s">
        <v>112</v>
      </c>
      <c r="C53" s="17" t="s">
        <v>113</v>
      </c>
      <c r="D53" s="19">
        <v>0</v>
      </c>
      <c r="E53" s="19">
        <v>0</v>
      </c>
      <c r="F53" s="17" t="s">
        <v>49</v>
      </c>
    </row>
    <row r="54" spans="1:6" x14ac:dyDescent="0.3">
      <c r="B54" s="17" t="s">
        <v>114</v>
      </c>
      <c r="C54" s="17" t="s">
        <v>115</v>
      </c>
      <c r="D54" s="19">
        <v>0</v>
      </c>
      <c r="E54" s="19">
        <v>0</v>
      </c>
      <c r="F54" s="17" t="s">
        <v>49</v>
      </c>
    </row>
    <row r="55" spans="1:6" x14ac:dyDescent="0.3">
      <c r="B55" s="17" t="s">
        <v>116</v>
      </c>
      <c r="C55" s="17" t="s">
        <v>117</v>
      </c>
      <c r="D55" s="19">
        <v>1</v>
      </c>
      <c r="E55" s="19">
        <v>1</v>
      </c>
      <c r="F55" s="17" t="s">
        <v>49</v>
      </c>
    </row>
    <row r="56" spans="1:6" x14ac:dyDescent="0.3">
      <c r="B56" s="17" t="s">
        <v>118</v>
      </c>
      <c r="C56" s="17" t="s">
        <v>119</v>
      </c>
      <c r="D56" s="19">
        <v>0</v>
      </c>
      <c r="E56" s="19">
        <v>0</v>
      </c>
      <c r="F56" s="17" t="s">
        <v>49</v>
      </c>
    </row>
    <row r="57" spans="1:6" x14ac:dyDescent="0.3">
      <c r="B57" s="17" t="s">
        <v>120</v>
      </c>
      <c r="C57" s="17" t="s">
        <v>121</v>
      </c>
      <c r="D57" s="19">
        <v>0</v>
      </c>
      <c r="E57" s="19">
        <v>0</v>
      </c>
      <c r="F57" s="17" t="s">
        <v>49</v>
      </c>
    </row>
    <row r="58" spans="1:6" x14ac:dyDescent="0.3">
      <c r="B58" s="17" t="s">
        <v>122</v>
      </c>
      <c r="C58" s="17" t="s">
        <v>123</v>
      </c>
      <c r="D58" s="19">
        <v>0</v>
      </c>
      <c r="E58" s="19">
        <v>0</v>
      </c>
      <c r="F58" s="17" t="s">
        <v>49</v>
      </c>
    </row>
    <row r="59" spans="1:6" x14ac:dyDescent="0.3">
      <c r="B59" s="17" t="s">
        <v>124</v>
      </c>
      <c r="C59" s="17" t="s">
        <v>125</v>
      </c>
      <c r="D59" s="19">
        <v>0</v>
      </c>
      <c r="E59" s="19">
        <v>0</v>
      </c>
      <c r="F59" s="17" t="s">
        <v>49</v>
      </c>
    </row>
    <row r="60" spans="1:6" x14ac:dyDescent="0.3">
      <c r="B60" s="17" t="s">
        <v>126</v>
      </c>
      <c r="C60" s="17" t="s">
        <v>127</v>
      </c>
      <c r="D60" s="19">
        <v>1</v>
      </c>
      <c r="E60" s="19">
        <v>1</v>
      </c>
      <c r="F60" s="17" t="s">
        <v>49</v>
      </c>
    </row>
    <row r="61" spans="1:6" ht="15" thickBot="1" x14ac:dyDescent="0.35">
      <c r="B61" s="15" t="s">
        <v>128</v>
      </c>
      <c r="C61" s="15" t="s">
        <v>240</v>
      </c>
      <c r="D61" s="18">
        <v>1</v>
      </c>
      <c r="E61" s="18">
        <v>1</v>
      </c>
      <c r="F61" s="15" t="s">
        <v>49</v>
      </c>
    </row>
    <row r="64" spans="1:6" ht="15" thickBot="1" x14ac:dyDescent="0.35">
      <c r="A64" t="s">
        <v>40</v>
      </c>
    </row>
    <row r="65" spans="2:7" ht="15" thickBot="1" x14ac:dyDescent="0.35">
      <c r="B65" s="16" t="s">
        <v>34</v>
      </c>
      <c r="C65" s="16" t="s">
        <v>35</v>
      </c>
      <c r="D65" s="16" t="s">
        <v>41</v>
      </c>
      <c r="E65" s="16" t="s">
        <v>42</v>
      </c>
      <c r="F65" s="16" t="s">
        <v>43</v>
      </c>
      <c r="G65" s="16" t="s">
        <v>44</v>
      </c>
    </row>
    <row r="66" spans="2:7" x14ac:dyDescent="0.3">
      <c r="B66" s="17" t="s">
        <v>128</v>
      </c>
      <c r="C66" s="17" t="s">
        <v>240</v>
      </c>
      <c r="D66" s="19">
        <v>1</v>
      </c>
      <c r="E66" s="17" t="s">
        <v>130</v>
      </c>
      <c r="F66" s="17" t="s">
        <v>131</v>
      </c>
      <c r="G66" s="17">
        <v>0</v>
      </c>
    </row>
    <row r="67" spans="2:7" x14ac:dyDescent="0.3">
      <c r="B67" s="17" t="s">
        <v>132</v>
      </c>
      <c r="C67" s="17" t="s">
        <v>220</v>
      </c>
      <c r="D67" s="19">
        <v>1</v>
      </c>
      <c r="E67" s="17" t="s">
        <v>133</v>
      </c>
      <c r="F67" s="17" t="s">
        <v>131</v>
      </c>
      <c r="G67" s="17">
        <v>0</v>
      </c>
    </row>
    <row r="68" spans="2:7" x14ac:dyDescent="0.3">
      <c r="B68" s="17" t="s">
        <v>134</v>
      </c>
      <c r="C68" s="17" t="s">
        <v>221</v>
      </c>
      <c r="D68" s="19">
        <v>1</v>
      </c>
      <c r="E68" s="17" t="s">
        <v>135</v>
      </c>
      <c r="F68" s="17" t="s">
        <v>131</v>
      </c>
      <c r="G68" s="17">
        <v>0</v>
      </c>
    </row>
    <row r="69" spans="2:7" x14ac:dyDescent="0.3">
      <c r="B69" s="17" t="s">
        <v>136</v>
      </c>
      <c r="C69" s="17" t="s">
        <v>222</v>
      </c>
      <c r="D69" s="19">
        <v>1</v>
      </c>
      <c r="E69" s="17" t="s">
        <v>137</v>
      </c>
      <c r="F69" s="17" t="s">
        <v>131</v>
      </c>
      <c r="G69" s="17">
        <v>0</v>
      </c>
    </row>
    <row r="70" spans="2:7" x14ac:dyDescent="0.3">
      <c r="B70" s="17" t="s">
        <v>138</v>
      </c>
      <c r="C70" s="17" t="s">
        <v>223</v>
      </c>
      <c r="D70" s="19">
        <v>1</v>
      </c>
      <c r="E70" s="17" t="s">
        <v>139</v>
      </c>
      <c r="F70" s="17" t="s">
        <v>131</v>
      </c>
      <c r="G70" s="17">
        <v>0</v>
      </c>
    </row>
    <row r="71" spans="2:7" x14ac:dyDescent="0.3">
      <c r="B71" s="17" t="s">
        <v>140</v>
      </c>
      <c r="C71" s="17" t="s">
        <v>224</v>
      </c>
      <c r="D71" s="19">
        <v>1</v>
      </c>
      <c r="E71" s="17" t="s">
        <v>141</v>
      </c>
      <c r="F71" s="17" t="s">
        <v>131</v>
      </c>
      <c r="G71" s="17">
        <v>0</v>
      </c>
    </row>
    <row r="72" spans="2:7" x14ac:dyDescent="0.3">
      <c r="B72" s="17" t="s">
        <v>142</v>
      </c>
      <c r="C72" s="17" t="s">
        <v>225</v>
      </c>
      <c r="D72" s="19">
        <v>1</v>
      </c>
      <c r="E72" s="17" t="s">
        <v>143</v>
      </c>
      <c r="F72" s="17" t="s">
        <v>131</v>
      </c>
      <c r="G72" s="17">
        <v>0</v>
      </c>
    </row>
    <row r="73" spans="2:7" x14ac:dyDescent="0.3">
      <c r="B73" s="17" t="s">
        <v>144</v>
      </c>
      <c r="C73" s="17" t="s">
        <v>226</v>
      </c>
      <c r="D73" s="19">
        <v>1</v>
      </c>
      <c r="E73" s="17" t="s">
        <v>145</v>
      </c>
      <c r="F73" s="17" t="s">
        <v>131</v>
      </c>
      <c r="G73" s="17">
        <v>0</v>
      </c>
    </row>
    <row r="74" spans="2:7" x14ac:dyDescent="0.3">
      <c r="B74" s="17" t="s">
        <v>146</v>
      </c>
      <c r="C74" s="17" t="s">
        <v>227</v>
      </c>
      <c r="D74" s="19">
        <v>1</v>
      </c>
      <c r="E74" s="17" t="s">
        <v>147</v>
      </c>
      <c r="F74" s="17" t="s">
        <v>131</v>
      </c>
      <c r="G74" s="17">
        <v>0</v>
      </c>
    </row>
    <row r="75" spans="2:7" x14ac:dyDescent="0.3">
      <c r="B75" s="17" t="s">
        <v>148</v>
      </c>
      <c r="C75" s="17" t="s">
        <v>228</v>
      </c>
      <c r="D75" s="19">
        <v>1</v>
      </c>
      <c r="E75" s="17" t="s">
        <v>149</v>
      </c>
      <c r="F75" s="17" t="s">
        <v>131</v>
      </c>
      <c r="G75" s="17">
        <v>0</v>
      </c>
    </row>
    <row r="76" spans="2:7" x14ac:dyDescent="0.3">
      <c r="B76" s="17" t="s">
        <v>150</v>
      </c>
      <c r="C76" s="17" t="s">
        <v>229</v>
      </c>
      <c r="D76" s="19">
        <v>4</v>
      </c>
      <c r="E76" s="17" t="s">
        <v>151</v>
      </c>
      <c r="F76" s="17" t="s">
        <v>131</v>
      </c>
      <c r="G76" s="17">
        <v>0</v>
      </c>
    </row>
    <row r="77" spans="2:7" x14ac:dyDescent="0.3">
      <c r="B77" s="17" t="s">
        <v>152</v>
      </c>
      <c r="C77" s="17" t="s">
        <v>153</v>
      </c>
      <c r="D77" s="19">
        <v>5</v>
      </c>
      <c r="E77" s="17" t="s">
        <v>154</v>
      </c>
      <c r="F77" s="17" t="s">
        <v>155</v>
      </c>
      <c r="G77" s="19">
        <v>4</v>
      </c>
    </row>
    <row r="78" spans="2:7" x14ac:dyDescent="0.3">
      <c r="B78" s="17" t="s">
        <v>156</v>
      </c>
      <c r="C78" s="17" t="s">
        <v>157</v>
      </c>
      <c r="D78" s="19">
        <v>4</v>
      </c>
      <c r="E78" s="17" t="s">
        <v>158</v>
      </c>
      <c r="F78" s="17" t="s">
        <v>155</v>
      </c>
      <c r="G78" s="19">
        <v>3</v>
      </c>
    </row>
    <row r="79" spans="2:7" x14ac:dyDescent="0.3">
      <c r="B79" s="17" t="s">
        <v>159</v>
      </c>
      <c r="C79" s="17" t="s">
        <v>160</v>
      </c>
      <c r="D79" s="19">
        <v>2</v>
      </c>
      <c r="E79" s="17" t="s">
        <v>161</v>
      </c>
      <c r="F79" s="17" t="s">
        <v>155</v>
      </c>
      <c r="G79" s="19">
        <v>1</v>
      </c>
    </row>
    <row r="80" spans="2:7" x14ac:dyDescent="0.3">
      <c r="B80" s="17" t="s">
        <v>162</v>
      </c>
      <c r="C80" s="17" t="s">
        <v>163</v>
      </c>
      <c r="D80" s="19">
        <v>2</v>
      </c>
      <c r="E80" s="17" t="s">
        <v>164</v>
      </c>
      <c r="F80" s="17" t="s">
        <v>155</v>
      </c>
      <c r="G80" s="19">
        <v>1</v>
      </c>
    </row>
    <row r="81" spans="2:7" x14ac:dyDescent="0.3">
      <c r="B81" s="17" t="s">
        <v>165</v>
      </c>
      <c r="C81" s="17" t="s">
        <v>166</v>
      </c>
      <c r="D81" s="19">
        <v>1340</v>
      </c>
      <c r="E81" s="17" t="s">
        <v>167</v>
      </c>
      <c r="F81" s="17" t="s">
        <v>155</v>
      </c>
      <c r="G81" s="17">
        <v>1160</v>
      </c>
    </row>
    <row r="82" spans="2:7" x14ac:dyDescent="0.3">
      <c r="B82" s="17" t="s">
        <v>168</v>
      </c>
      <c r="C82" s="17" t="s">
        <v>169</v>
      </c>
      <c r="D82" s="19">
        <v>1150</v>
      </c>
      <c r="E82" s="17" t="s">
        <v>170</v>
      </c>
      <c r="F82" s="17" t="s">
        <v>155</v>
      </c>
      <c r="G82" s="17">
        <v>450</v>
      </c>
    </row>
    <row r="83" spans="2:7" x14ac:dyDescent="0.3">
      <c r="B83" s="17" t="s">
        <v>171</v>
      </c>
      <c r="C83" s="17" t="s">
        <v>172</v>
      </c>
      <c r="D83" s="19">
        <v>320</v>
      </c>
      <c r="E83" s="17" t="s">
        <v>173</v>
      </c>
      <c r="F83" s="17" t="s">
        <v>155</v>
      </c>
      <c r="G83" s="17">
        <v>880</v>
      </c>
    </row>
    <row r="84" spans="2:7" x14ac:dyDescent="0.3">
      <c r="B84" s="17" t="s">
        <v>174</v>
      </c>
      <c r="C84" s="17" t="s">
        <v>175</v>
      </c>
      <c r="D84" s="19">
        <v>170</v>
      </c>
      <c r="E84" s="17" t="s">
        <v>176</v>
      </c>
      <c r="F84" s="17" t="s">
        <v>155</v>
      </c>
      <c r="G84" s="17">
        <v>342</v>
      </c>
    </row>
    <row r="85" spans="2:7" x14ac:dyDescent="0.3">
      <c r="B85" s="17" t="s">
        <v>47</v>
      </c>
      <c r="C85" s="17" t="s">
        <v>48</v>
      </c>
      <c r="D85" s="19">
        <v>1</v>
      </c>
      <c r="E85" s="17" t="s">
        <v>177</v>
      </c>
      <c r="F85" s="17" t="s">
        <v>131</v>
      </c>
      <c r="G85" s="17">
        <v>0</v>
      </c>
    </row>
    <row r="86" spans="2:7" x14ac:dyDescent="0.3">
      <c r="B86" s="17" t="s">
        <v>50</v>
      </c>
      <c r="C86" s="17" t="s">
        <v>51</v>
      </c>
      <c r="D86" s="19">
        <v>0</v>
      </c>
      <c r="E86" s="17" t="s">
        <v>178</v>
      </c>
      <c r="F86" s="17" t="s">
        <v>131</v>
      </c>
      <c r="G86" s="17">
        <v>0</v>
      </c>
    </row>
    <row r="87" spans="2:7" x14ac:dyDescent="0.3">
      <c r="B87" s="17" t="s">
        <v>52</v>
      </c>
      <c r="C87" s="17" t="s">
        <v>53</v>
      </c>
      <c r="D87" s="19">
        <v>1</v>
      </c>
      <c r="E87" s="17" t="s">
        <v>179</v>
      </c>
      <c r="F87" s="17" t="s">
        <v>131</v>
      </c>
      <c r="G87" s="17">
        <v>0</v>
      </c>
    </row>
    <row r="88" spans="2:7" x14ac:dyDescent="0.3">
      <c r="B88" s="17" t="s">
        <v>54</v>
      </c>
      <c r="C88" s="17" t="s">
        <v>55</v>
      </c>
      <c r="D88" s="19">
        <v>0</v>
      </c>
      <c r="E88" s="17" t="s">
        <v>180</v>
      </c>
      <c r="F88" s="17" t="s">
        <v>131</v>
      </c>
      <c r="G88" s="17">
        <v>0</v>
      </c>
    </row>
    <row r="89" spans="2:7" x14ac:dyDescent="0.3">
      <c r="B89" s="17" t="s">
        <v>56</v>
      </c>
      <c r="C89" s="17" t="s">
        <v>57</v>
      </c>
      <c r="D89" s="19">
        <v>0</v>
      </c>
      <c r="E89" s="17" t="s">
        <v>181</v>
      </c>
      <c r="F89" s="17" t="s">
        <v>155</v>
      </c>
      <c r="G89" s="17">
        <v>1</v>
      </c>
    </row>
    <row r="90" spans="2:7" x14ac:dyDescent="0.3">
      <c r="B90" s="17" t="s">
        <v>58</v>
      </c>
      <c r="C90" s="17" t="s">
        <v>59</v>
      </c>
      <c r="D90" s="19">
        <v>0</v>
      </c>
      <c r="E90" s="17" t="s">
        <v>182</v>
      </c>
      <c r="F90" s="17" t="s">
        <v>131</v>
      </c>
      <c r="G90" s="17">
        <v>0</v>
      </c>
    </row>
    <row r="91" spans="2:7" x14ac:dyDescent="0.3">
      <c r="B91" s="17" t="s">
        <v>60</v>
      </c>
      <c r="C91" s="17" t="s">
        <v>61</v>
      </c>
      <c r="D91" s="19">
        <v>1</v>
      </c>
      <c r="E91" s="17" t="s">
        <v>183</v>
      </c>
      <c r="F91" s="17" t="s">
        <v>131</v>
      </c>
      <c r="G91" s="17">
        <v>0</v>
      </c>
    </row>
    <row r="92" spans="2:7" x14ac:dyDescent="0.3">
      <c r="B92" s="17" t="s">
        <v>62</v>
      </c>
      <c r="C92" s="17" t="s">
        <v>63</v>
      </c>
      <c r="D92" s="19">
        <v>0</v>
      </c>
      <c r="E92" s="17" t="s">
        <v>184</v>
      </c>
      <c r="F92" s="17" t="s">
        <v>131</v>
      </c>
      <c r="G92" s="17">
        <v>0</v>
      </c>
    </row>
    <row r="93" spans="2:7" x14ac:dyDescent="0.3">
      <c r="B93" s="17" t="s">
        <v>64</v>
      </c>
      <c r="C93" s="17" t="s">
        <v>65</v>
      </c>
      <c r="D93" s="19">
        <v>1</v>
      </c>
      <c r="E93" s="17" t="s">
        <v>185</v>
      </c>
      <c r="F93" s="17" t="s">
        <v>131</v>
      </c>
      <c r="G93" s="17">
        <v>0</v>
      </c>
    </row>
    <row r="94" spans="2:7" x14ac:dyDescent="0.3">
      <c r="B94" s="17" t="s">
        <v>66</v>
      </c>
      <c r="C94" s="17" t="s">
        <v>67</v>
      </c>
      <c r="D94" s="19">
        <v>1</v>
      </c>
      <c r="E94" s="17" t="s">
        <v>186</v>
      </c>
      <c r="F94" s="17" t="s">
        <v>131</v>
      </c>
      <c r="G94" s="17">
        <v>0</v>
      </c>
    </row>
    <row r="95" spans="2:7" x14ac:dyDescent="0.3">
      <c r="B95" s="17" t="s">
        <v>68</v>
      </c>
      <c r="C95" s="17" t="s">
        <v>69</v>
      </c>
      <c r="D95" s="19">
        <v>0</v>
      </c>
      <c r="E95" s="17" t="s">
        <v>187</v>
      </c>
      <c r="F95" s="17" t="s">
        <v>131</v>
      </c>
      <c r="G95" s="17">
        <v>0</v>
      </c>
    </row>
    <row r="96" spans="2:7" x14ac:dyDescent="0.3">
      <c r="B96" s="17" t="s">
        <v>70</v>
      </c>
      <c r="C96" s="17" t="s">
        <v>71</v>
      </c>
      <c r="D96" s="19">
        <v>1</v>
      </c>
      <c r="E96" s="17" t="s">
        <v>188</v>
      </c>
      <c r="F96" s="17" t="s">
        <v>131</v>
      </c>
      <c r="G96" s="17">
        <v>0</v>
      </c>
    </row>
    <row r="97" spans="2:7" x14ac:dyDescent="0.3">
      <c r="B97" s="17" t="s">
        <v>72</v>
      </c>
      <c r="C97" s="17" t="s">
        <v>73</v>
      </c>
      <c r="D97" s="19">
        <v>0</v>
      </c>
      <c r="E97" s="17" t="s">
        <v>189</v>
      </c>
      <c r="F97" s="17" t="s">
        <v>131</v>
      </c>
      <c r="G97" s="17">
        <v>0</v>
      </c>
    </row>
    <row r="98" spans="2:7" x14ac:dyDescent="0.3">
      <c r="B98" s="17" t="s">
        <v>74</v>
      </c>
      <c r="C98" s="17" t="s">
        <v>75</v>
      </c>
      <c r="D98" s="19">
        <v>1</v>
      </c>
      <c r="E98" s="17" t="s">
        <v>190</v>
      </c>
      <c r="F98" s="17" t="s">
        <v>131</v>
      </c>
      <c r="G98" s="17">
        <v>0</v>
      </c>
    </row>
    <row r="99" spans="2:7" x14ac:dyDescent="0.3">
      <c r="B99" s="17" t="s">
        <v>76</v>
      </c>
      <c r="C99" s="17" t="s">
        <v>77</v>
      </c>
      <c r="D99" s="19">
        <v>0</v>
      </c>
      <c r="E99" s="17" t="s">
        <v>191</v>
      </c>
      <c r="F99" s="17" t="s">
        <v>131</v>
      </c>
      <c r="G99" s="17">
        <v>0</v>
      </c>
    </row>
    <row r="100" spans="2:7" x14ac:dyDescent="0.3">
      <c r="B100" s="17" t="s">
        <v>78</v>
      </c>
      <c r="C100" s="17" t="s">
        <v>79</v>
      </c>
      <c r="D100" s="19">
        <v>0</v>
      </c>
      <c r="E100" s="17" t="s">
        <v>192</v>
      </c>
      <c r="F100" s="17" t="s">
        <v>131</v>
      </c>
      <c r="G100" s="17">
        <v>0</v>
      </c>
    </row>
    <row r="101" spans="2:7" x14ac:dyDescent="0.3">
      <c r="B101" s="17" t="s">
        <v>80</v>
      </c>
      <c r="C101" s="17" t="s">
        <v>81</v>
      </c>
      <c r="D101" s="19">
        <v>0</v>
      </c>
      <c r="E101" s="17" t="s">
        <v>193</v>
      </c>
      <c r="F101" s="17" t="s">
        <v>155</v>
      </c>
      <c r="G101" s="17">
        <v>1</v>
      </c>
    </row>
    <row r="102" spans="2:7" x14ac:dyDescent="0.3">
      <c r="B102" s="17" t="s">
        <v>82</v>
      </c>
      <c r="C102" s="17" t="s">
        <v>83</v>
      </c>
      <c r="D102" s="19">
        <v>1</v>
      </c>
      <c r="E102" s="17" t="s">
        <v>194</v>
      </c>
      <c r="F102" s="17" t="s">
        <v>131</v>
      </c>
      <c r="G102" s="17">
        <v>0</v>
      </c>
    </row>
    <row r="103" spans="2:7" x14ac:dyDescent="0.3">
      <c r="B103" s="17" t="s">
        <v>84</v>
      </c>
      <c r="C103" s="17" t="s">
        <v>85</v>
      </c>
      <c r="D103" s="19">
        <v>0</v>
      </c>
      <c r="E103" s="17" t="s">
        <v>195</v>
      </c>
      <c r="F103" s="17" t="s">
        <v>131</v>
      </c>
      <c r="G103" s="17">
        <v>0</v>
      </c>
    </row>
    <row r="104" spans="2:7" x14ac:dyDescent="0.3">
      <c r="B104" s="17" t="s">
        <v>86</v>
      </c>
      <c r="C104" s="17" t="s">
        <v>87</v>
      </c>
      <c r="D104" s="19">
        <v>1</v>
      </c>
      <c r="E104" s="17" t="s">
        <v>196</v>
      </c>
      <c r="F104" s="17" t="s">
        <v>131</v>
      </c>
      <c r="G104" s="17">
        <v>0</v>
      </c>
    </row>
    <row r="105" spans="2:7" x14ac:dyDescent="0.3">
      <c r="B105" s="17" t="s">
        <v>88</v>
      </c>
      <c r="C105" s="17" t="s">
        <v>89</v>
      </c>
      <c r="D105" s="19">
        <v>0</v>
      </c>
      <c r="E105" s="17" t="s">
        <v>197</v>
      </c>
      <c r="F105" s="17" t="s">
        <v>155</v>
      </c>
      <c r="G105" s="17">
        <v>1</v>
      </c>
    </row>
    <row r="106" spans="2:7" x14ac:dyDescent="0.3">
      <c r="B106" s="17" t="s">
        <v>90</v>
      </c>
      <c r="C106" s="17" t="s">
        <v>91</v>
      </c>
      <c r="D106" s="19">
        <v>0</v>
      </c>
      <c r="E106" s="17" t="s">
        <v>198</v>
      </c>
      <c r="F106" s="17" t="s">
        <v>155</v>
      </c>
      <c r="G106" s="17">
        <v>1</v>
      </c>
    </row>
    <row r="107" spans="2:7" x14ac:dyDescent="0.3">
      <c r="B107" s="17" t="s">
        <v>92</v>
      </c>
      <c r="C107" s="17" t="s">
        <v>93</v>
      </c>
      <c r="D107" s="19">
        <v>0</v>
      </c>
      <c r="E107" s="17" t="s">
        <v>199</v>
      </c>
      <c r="F107" s="17" t="s">
        <v>131</v>
      </c>
      <c r="G107" s="17">
        <v>0</v>
      </c>
    </row>
    <row r="108" spans="2:7" x14ac:dyDescent="0.3">
      <c r="B108" s="17" t="s">
        <v>94</v>
      </c>
      <c r="C108" s="17" t="s">
        <v>95</v>
      </c>
      <c r="D108" s="19">
        <v>0</v>
      </c>
      <c r="E108" s="17" t="s">
        <v>200</v>
      </c>
      <c r="F108" s="17" t="s">
        <v>155</v>
      </c>
      <c r="G108" s="17">
        <v>1</v>
      </c>
    </row>
    <row r="109" spans="2:7" x14ac:dyDescent="0.3">
      <c r="B109" s="17" t="s">
        <v>96</v>
      </c>
      <c r="C109" s="17" t="s">
        <v>97</v>
      </c>
      <c r="D109" s="19">
        <v>0</v>
      </c>
      <c r="E109" s="17" t="s">
        <v>201</v>
      </c>
      <c r="F109" s="17" t="s">
        <v>131</v>
      </c>
      <c r="G109" s="17">
        <v>0</v>
      </c>
    </row>
    <row r="110" spans="2:7" x14ac:dyDescent="0.3">
      <c r="B110" s="17" t="s">
        <v>98</v>
      </c>
      <c r="C110" s="17" t="s">
        <v>99</v>
      </c>
      <c r="D110" s="19">
        <v>1</v>
      </c>
      <c r="E110" s="17" t="s">
        <v>202</v>
      </c>
      <c r="F110" s="17" t="s">
        <v>131</v>
      </c>
      <c r="G110" s="17">
        <v>0</v>
      </c>
    </row>
    <row r="111" spans="2:7" x14ac:dyDescent="0.3">
      <c r="B111" s="17" t="s">
        <v>100</v>
      </c>
      <c r="C111" s="17" t="s">
        <v>101</v>
      </c>
      <c r="D111" s="19">
        <v>0</v>
      </c>
      <c r="E111" s="17" t="s">
        <v>203</v>
      </c>
      <c r="F111" s="17" t="s">
        <v>131</v>
      </c>
      <c r="G111" s="17">
        <v>0</v>
      </c>
    </row>
    <row r="112" spans="2:7" x14ac:dyDescent="0.3">
      <c r="B112" s="17" t="s">
        <v>102</v>
      </c>
      <c r="C112" s="17" t="s">
        <v>103</v>
      </c>
      <c r="D112" s="19">
        <v>0</v>
      </c>
      <c r="E112" s="17" t="s">
        <v>204</v>
      </c>
      <c r="F112" s="17" t="s">
        <v>131</v>
      </c>
      <c r="G112" s="17">
        <v>0</v>
      </c>
    </row>
    <row r="113" spans="2:7" x14ac:dyDescent="0.3">
      <c r="B113" s="17" t="s">
        <v>104</v>
      </c>
      <c r="C113" s="17" t="s">
        <v>105</v>
      </c>
      <c r="D113" s="19">
        <v>0</v>
      </c>
      <c r="E113" s="17" t="s">
        <v>205</v>
      </c>
      <c r="F113" s="17" t="s">
        <v>155</v>
      </c>
      <c r="G113" s="17">
        <v>1</v>
      </c>
    </row>
    <row r="114" spans="2:7" x14ac:dyDescent="0.3">
      <c r="B114" s="17" t="s">
        <v>106</v>
      </c>
      <c r="C114" s="17" t="s">
        <v>107</v>
      </c>
      <c r="D114" s="19">
        <v>1</v>
      </c>
      <c r="E114" s="17" t="s">
        <v>206</v>
      </c>
      <c r="F114" s="17" t="s">
        <v>131</v>
      </c>
      <c r="G114" s="17">
        <v>0</v>
      </c>
    </row>
    <row r="115" spans="2:7" x14ac:dyDescent="0.3">
      <c r="B115" s="17" t="s">
        <v>108</v>
      </c>
      <c r="C115" s="17" t="s">
        <v>109</v>
      </c>
      <c r="D115" s="19">
        <v>0</v>
      </c>
      <c r="E115" s="17" t="s">
        <v>207</v>
      </c>
      <c r="F115" s="17" t="s">
        <v>155</v>
      </c>
      <c r="G115" s="17">
        <v>1</v>
      </c>
    </row>
    <row r="116" spans="2:7" x14ac:dyDescent="0.3">
      <c r="B116" s="17" t="s">
        <v>110</v>
      </c>
      <c r="C116" s="17" t="s">
        <v>111</v>
      </c>
      <c r="D116" s="19">
        <v>0</v>
      </c>
      <c r="E116" s="17" t="s">
        <v>208</v>
      </c>
      <c r="F116" s="17" t="s">
        <v>131</v>
      </c>
      <c r="G116" s="17">
        <v>0</v>
      </c>
    </row>
    <row r="117" spans="2:7" x14ac:dyDescent="0.3">
      <c r="B117" s="17" t="s">
        <v>112</v>
      </c>
      <c r="C117" s="17" t="s">
        <v>113</v>
      </c>
      <c r="D117" s="19">
        <v>0</v>
      </c>
      <c r="E117" s="17" t="s">
        <v>209</v>
      </c>
      <c r="F117" s="17" t="s">
        <v>155</v>
      </c>
      <c r="G117" s="17">
        <v>1</v>
      </c>
    </row>
    <row r="118" spans="2:7" x14ac:dyDescent="0.3">
      <c r="B118" s="17" t="s">
        <v>114</v>
      </c>
      <c r="C118" s="17" t="s">
        <v>115</v>
      </c>
      <c r="D118" s="19">
        <v>0</v>
      </c>
      <c r="E118" s="17" t="s">
        <v>210</v>
      </c>
      <c r="F118" s="17" t="s">
        <v>131</v>
      </c>
      <c r="G118" s="17">
        <v>0</v>
      </c>
    </row>
    <row r="119" spans="2:7" x14ac:dyDescent="0.3">
      <c r="B119" s="17" t="s">
        <v>116</v>
      </c>
      <c r="C119" s="17" t="s">
        <v>117</v>
      </c>
      <c r="D119" s="19">
        <v>1</v>
      </c>
      <c r="E119" s="17" t="s">
        <v>211</v>
      </c>
      <c r="F119" s="17" t="s">
        <v>131</v>
      </c>
      <c r="G119" s="17">
        <v>0</v>
      </c>
    </row>
    <row r="120" spans="2:7" x14ac:dyDescent="0.3">
      <c r="B120" s="17" t="s">
        <v>118</v>
      </c>
      <c r="C120" s="17" t="s">
        <v>119</v>
      </c>
      <c r="D120" s="19">
        <v>0</v>
      </c>
      <c r="E120" s="17" t="s">
        <v>212</v>
      </c>
      <c r="F120" s="17" t="s">
        <v>131</v>
      </c>
      <c r="G120" s="17">
        <v>0</v>
      </c>
    </row>
    <row r="121" spans="2:7" x14ac:dyDescent="0.3">
      <c r="B121" s="17" t="s">
        <v>120</v>
      </c>
      <c r="C121" s="17" t="s">
        <v>121</v>
      </c>
      <c r="D121" s="19">
        <v>0</v>
      </c>
      <c r="E121" s="17" t="s">
        <v>213</v>
      </c>
      <c r="F121" s="17" t="s">
        <v>131</v>
      </c>
      <c r="G121" s="17">
        <v>0</v>
      </c>
    </row>
    <row r="122" spans="2:7" x14ac:dyDescent="0.3">
      <c r="B122" s="17" t="s">
        <v>122</v>
      </c>
      <c r="C122" s="17" t="s">
        <v>123</v>
      </c>
      <c r="D122" s="19">
        <v>0</v>
      </c>
      <c r="E122" s="17" t="s">
        <v>214</v>
      </c>
      <c r="F122" s="17" t="s">
        <v>131</v>
      </c>
      <c r="G122" s="17">
        <v>0</v>
      </c>
    </row>
    <row r="123" spans="2:7" x14ac:dyDescent="0.3">
      <c r="B123" s="17" t="s">
        <v>124</v>
      </c>
      <c r="C123" s="17" t="s">
        <v>125</v>
      </c>
      <c r="D123" s="19">
        <v>0</v>
      </c>
      <c r="E123" s="17" t="s">
        <v>215</v>
      </c>
      <c r="F123" s="17" t="s">
        <v>155</v>
      </c>
      <c r="G123" s="17">
        <v>1</v>
      </c>
    </row>
    <row r="124" spans="2:7" ht="15" thickBot="1" x14ac:dyDescent="0.35">
      <c r="B124" s="15" t="s">
        <v>126</v>
      </c>
      <c r="C124" s="15" t="s">
        <v>127</v>
      </c>
      <c r="D124" s="18">
        <v>1</v>
      </c>
      <c r="E124" s="15" t="s">
        <v>216</v>
      </c>
      <c r="F124" s="15" t="s">
        <v>131</v>
      </c>
      <c r="G124" s="1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19.6640625" bestFit="1" customWidth="1"/>
    <col min="4" max="4" width="5.77734375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4" t="s">
        <v>241</v>
      </c>
    </row>
    <row r="2" spans="1:8" x14ac:dyDescent="0.3">
      <c r="A2" s="14" t="s">
        <v>26</v>
      </c>
    </row>
    <row r="3" spans="1:8" x14ac:dyDescent="0.3">
      <c r="A3" s="14" t="s">
        <v>242</v>
      </c>
    </row>
    <row r="6" spans="1:8" ht="15" thickBot="1" x14ac:dyDescent="0.35">
      <c r="A6" t="s">
        <v>38</v>
      </c>
    </row>
    <row r="7" spans="1:8" x14ac:dyDescent="0.3">
      <c r="B7" s="21"/>
      <c r="C7" s="21"/>
      <c r="D7" s="21" t="s">
        <v>243</v>
      </c>
      <c r="E7" s="21" t="s">
        <v>245</v>
      </c>
      <c r="F7" s="21" t="s">
        <v>247</v>
      </c>
      <c r="G7" s="21" t="s">
        <v>249</v>
      </c>
      <c r="H7" s="21" t="s">
        <v>249</v>
      </c>
    </row>
    <row r="8" spans="1:8" ht="15" thickBot="1" x14ac:dyDescent="0.35">
      <c r="B8" s="22" t="s">
        <v>34</v>
      </c>
      <c r="C8" s="22" t="s">
        <v>35</v>
      </c>
      <c r="D8" s="22" t="s">
        <v>244</v>
      </c>
      <c r="E8" s="22" t="s">
        <v>246</v>
      </c>
      <c r="F8" s="22" t="s">
        <v>248</v>
      </c>
      <c r="G8" s="22" t="s">
        <v>250</v>
      </c>
      <c r="H8" s="22" t="s">
        <v>251</v>
      </c>
    </row>
    <row r="9" spans="1:8" x14ac:dyDescent="0.3">
      <c r="B9" s="17" t="s">
        <v>47</v>
      </c>
      <c r="C9" s="17" t="s">
        <v>48</v>
      </c>
      <c r="D9" s="17">
        <v>1</v>
      </c>
      <c r="E9" s="17">
        <v>0</v>
      </c>
      <c r="F9" s="17">
        <v>95</v>
      </c>
      <c r="G9" s="17">
        <v>1E+30</v>
      </c>
      <c r="H9" s="17">
        <v>0</v>
      </c>
    </row>
    <row r="10" spans="1:8" x14ac:dyDescent="0.3">
      <c r="B10" s="17" t="s">
        <v>50</v>
      </c>
      <c r="C10" s="17" t="s">
        <v>51</v>
      </c>
      <c r="D10" s="17">
        <v>0</v>
      </c>
      <c r="E10" s="17">
        <v>0</v>
      </c>
      <c r="F10" s="17">
        <v>80</v>
      </c>
      <c r="G10" s="17">
        <v>0</v>
      </c>
      <c r="H10" s="17">
        <v>1E+30</v>
      </c>
    </row>
    <row r="11" spans="1:8" x14ac:dyDescent="0.3">
      <c r="B11" s="17" t="s">
        <v>52</v>
      </c>
      <c r="C11" s="17" t="s">
        <v>53</v>
      </c>
      <c r="D11" s="17">
        <v>1</v>
      </c>
      <c r="E11" s="17">
        <v>0</v>
      </c>
      <c r="F11" s="17">
        <v>60</v>
      </c>
      <c r="G11" s="17">
        <v>1E+30</v>
      </c>
      <c r="H11" s="17">
        <v>0</v>
      </c>
    </row>
    <row r="12" spans="1:8" x14ac:dyDescent="0.3">
      <c r="B12" s="17" t="s">
        <v>54</v>
      </c>
      <c r="C12" s="17" t="s">
        <v>55</v>
      </c>
      <c r="D12" s="17">
        <v>0</v>
      </c>
      <c r="E12" s="17">
        <v>0</v>
      </c>
      <c r="F12" s="17">
        <v>65</v>
      </c>
      <c r="G12" s="17">
        <v>0</v>
      </c>
      <c r="H12" s="17">
        <v>1E+30</v>
      </c>
    </row>
    <row r="13" spans="1:8" x14ac:dyDescent="0.3">
      <c r="B13" s="17" t="s">
        <v>56</v>
      </c>
      <c r="C13" s="17" t="s">
        <v>57</v>
      </c>
      <c r="D13" s="17">
        <v>0</v>
      </c>
      <c r="E13" s="17">
        <v>0</v>
      </c>
      <c r="F13" s="17">
        <v>90</v>
      </c>
      <c r="G13" s="17">
        <v>0</v>
      </c>
      <c r="H13" s="17">
        <v>0</v>
      </c>
    </row>
    <row r="14" spans="1:8" x14ac:dyDescent="0.3">
      <c r="B14" s="17" t="s">
        <v>58</v>
      </c>
      <c r="C14" s="17" t="s">
        <v>59</v>
      </c>
      <c r="D14" s="17">
        <v>0</v>
      </c>
      <c r="E14" s="17">
        <v>40</v>
      </c>
      <c r="F14" s="17">
        <v>40</v>
      </c>
      <c r="G14" s="17">
        <v>40</v>
      </c>
      <c r="H14" s="17">
        <v>1E+30</v>
      </c>
    </row>
    <row r="15" spans="1:8" x14ac:dyDescent="0.3">
      <c r="B15" s="17" t="s">
        <v>60</v>
      </c>
      <c r="C15" s="17" t="s">
        <v>61</v>
      </c>
      <c r="D15" s="17">
        <v>1</v>
      </c>
      <c r="E15" s="17">
        <v>0</v>
      </c>
      <c r="F15" s="17">
        <v>50</v>
      </c>
      <c r="G15" s="17">
        <v>1E+30</v>
      </c>
      <c r="H15" s="17">
        <v>0</v>
      </c>
    </row>
    <row r="16" spans="1:8" x14ac:dyDescent="0.3">
      <c r="B16" s="17" t="s">
        <v>62</v>
      </c>
      <c r="C16" s="17" t="s">
        <v>63</v>
      </c>
      <c r="D16" s="17">
        <v>0</v>
      </c>
      <c r="E16" s="17">
        <v>0</v>
      </c>
      <c r="F16" s="17">
        <v>55</v>
      </c>
      <c r="G16" s="17">
        <v>0</v>
      </c>
      <c r="H16" s="17">
        <v>1E+30</v>
      </c>
    </row>
    <row r="17" spans="2:8" x14ac:dyDescent="0.3">
      <c r="B17" s="17" t="s">
        <v>64</v>
      </c>
      <c r="C17" s="17" t="s">
        <v>65</v>
      </c>
      <c r="D17" s="17">
        <v>1</v>
      </c>
      <c r="E17" s="17">
        <v>0</v>
      </c>
      <c r="F17" s="17">
        <v>85</v>
      </c>
      <c r="G17" s="17">
        <v>1E+30</v>
      </c>
      <c r="H17" s="17">
        <v>0</v>
      </c>
    </row>
    <row r="18" spans="2:8" x14ac:dyDescent="0.3">
      <c r="B18" s="17" t="s">
        <v>66</v>
      </c>
      <c r="C18" s="17" t="s">
        <v>67</v>
      </c>
      <c r="D18" s="17">
        <v>1</v>
      </c>
      <c r="E18" s="17">
        <v>0</v>
      </c>
      <c r="F18" s="17">
        <v>0</v>
      </c>
      <c r="G18" s="17">
        <v>1E+30</v>
      </c>
      <c r="H18" s="17">
        <v>0</v>
      </c>
    </row>
    <row r="19" spans="2:8" x14ac:dyDescent="0.3">
      <c r="B19" s="17" t="s">
        <v>68</v>
      </c>
      <c r="C19" s="17" t="s">
        <v>69</v>
      </c>
      <c r="D19" s="17">
        <v>0</v>
      </c>
      <c r="E19" s="17">
        <v>0</v>
      </c>
      <c r="F19" s="17">
        <v>95</v>
      </c>
      <c r="G19" s="17">
        <v>0</v>
      </c>
      <c r="H19" s="17">
        <v>1E+30</v>
      </c>
    </row>
    <row r="20" spans="2:8" x14ac:dyDescent="0.3">
      <c r="B20" s="17" t="s">
        <v>70</v>
      </c>
      <c r="C20" s="17" t="s">
        <v>71</v>
      </c>
      <c r="D20" s="17">
        <v>1</v>
      </c>
      <c r="E20" s="17">
        <v>0</v>
      </c>
      <c r="F20" s="17">
        <v>80</v>
      </c>
      <c r="G20" s="17">
        <v>1E+30</v>
      </c>
      <c r="H20" s="17">
        <v>0</v>
      </c>
    </row>
    <row r="21" spans="2:8" x14ac:dyDescent="0.3">
      <c r="B21" s="17" t="s">
        <v>72</v>
      </c>
      <c r="C21" s="17" t="s">
        <v>73</v>
      </c>
      <c r="D21" s="17">
        <v>0</v>
      </c>
      <c r="E21" s="17">
        <v>0</v>
      </c>
      <c r="F21" s="17">
        <v>60</v>
      </c>
      <c r="G21" s="17">
        <v>0</v>
      </c>
      <c r="H21" s="17">
        <v>1E+30</v>
      </c>
    </row>
    <row r="22" spans="2:8" x14ac:dyDescent="0.3">
      <c r="B22" s="17" t="s">
        <v>74</v>
      </c>
      <c r="C22" s="17" t="s">
        <v>75</v>
      </c>
      <c r="D22" s="17">
        <v>1</v>
      </c>
      <c r="E22" s="17">
        <v>0</v>
      </c>
      <c r="F22" s="17">
        <v>65</v>
      </c>
      <c r="G22" s="17">
        <v>1E+30</v>
      </c>
      <c r="H22" s="17">
        <v>0</v>
      </c>
    </row>
    <row r="23" spans="2:8" x14ac:dyDescent="0.3">
      <c r="B23" s="17" t="s">
        <v>76</v>
      </c>
      <c r="C23" s="17" t="s">
        <v>77</v>
      </c>
      <c r="D23" s="17">
        <v>0</v>
      </c>
      <c r="E23" s="17">
        <v>0</v>
      </c>
      <c r="F23" s="17">
        <v>90</v>
      </c>
      <c r="G23" s="17">
        <v>0</v>
      </c>
      <c r="H23" s="17">
        <v>1E+30</v>
      </c>
    </row>
    <row r="24" spans="2:8" x14ac:dyDescent="0.3">
      <c r="B24" s="17" t="s">
        <v>78</v>
      </c>
      <c r="C24" s="17" t="s">
        <v>79</v>
      </c>
      <c r="D24" s="17">
        <v>0</v>
      </c>
      <c r="E24" s="17">
        <v>40</v>
      </c>
      <c r="F24" s="17">
        <v>40</v>
      </c>
      <c r="G24" s="17">
        <v>40</v>
      </c>
      <c r="H24" s="17">
        <v>1E+30</v>
      </c>
    </row>
    <row r="25" spans="2:8" x14ac:dyDescent="0.3">
      <c r="B25" s="17" t="s">
        <v>80</v>
      </c>
      <c r="C25" s="17" t="s">
        <v>81</v>
      </c>
      <c r="D25" s="17">
        <v>0</v>
      </c>
      <c r="E25" s="17">
        <v>0</v>
      </c>
      <c r="F25" s="17">
        <v>50</v>
      </c>
      <c r="G25" s="17">
        <v>0</v>
      </c>
      <c r="H25" s="17">
        <v>1E+30</v>
      </c>
    </row>
    <row r="26" spans="2:8" x14ac:dyDescent="0.3">
      <c r="B26" s="17" t="s">
        <v>82</v>
      </c>
      <c r="C26" s="17" t="s">
        <v>83</v>
      </c>
      <c r="D26" s="17">
        <v>1</v>
      </c>
      <c r="E26" s="17">
        <v>0</v>
      </c>
      <c r="F26" s="17">
        <v>55</v>
      </c>
      <c r="G26" s="17">
        <v>1E+30</v>
      </c>
      <c r="H26" s="17">
        <v>0</v>
      </c>
    </row>
    <row r="27" spans="2:8" x14ac:dyDescent="0.3">
      <c r="B27" s="17" t="s">
        <v>84</v>
      </c>
      <c r="C27" s="17" t="s">
        <v>85</v>
      </c>
      <c r="D27" s="17">
        <v>0</v>
      </c>
      <c r="E27" s="17">
        <v>0</v>
      </c>
      <c r="F27" s="17">
        <v>85</v>
      </c>
      <c r="G27" s="17">
        <v>0</v>
      </c>
      <c r="H27" s="17">
        <v>1E+30</v>
      </c>
    </row>
    <row r="28" spans="2:8" x14ac:dyDescent="0.3">
      <c r="B28" s="17" t="s">
        <v>86</v>
      </c>
      <c r="C28" s="17" t="s">
        <v>87</v>
      </c>
      <c r="D28" s="17">
        <v>1</v>
      </c>
      <c r="E28" s="17">
        <v>0</v>
      </c>
      <c r="F28" s="17">
        <v>0</v>
      </c>
      <c r="G28" s="17">
        <v>1E+30</v>
      </c>
      <c r="H28" s="17">
        <v>0</v>
      </c>
    </row>
    <row r="29" spans="2:8" x14ac:dyDescent="0.3">
      <c r="B29" s="17" t="s">
        <v>88</v>
      </c>
      <c r="C29" s="17" t="s">
        <v>89</v>
      </c>
      <c r="D29" s="17">
        <v>0</v>
      </c>
      <c r="E29" s="17">
        <v>0</v>
      </c>
      <c r="F29" s="17">
        <v>95</v>
      </c>
      <c r="G29" s="17">
        <v>0</v>
      </c>
      <c r="H29" s="17">
        <v>1E+30</v>
      </c>
    </row>
    <row r="30" spans="2:8" x14ac:dyDescent="0.3">
      <c r="B30" s="17" t="s">
        <v>90</v>
      </c>
      <c r="C30" s="17" t="s">
        <v>91</v>
      </c>
      <c r="D30" s="17">
        <v>0</v>
      </c>
      <c r="E30" s="17">
        <v>0</v>
      </c>
      <c r="F30" s="17">
        <v>80</v>
      </c>
      <c r="G30" s="17">
        <v>0</v>
      </c>
      <c r="H30" s="17">
        <v>0</v>
      </c>
    </row>
    <row r="31" spans="2:8" x14ac:dyDescent="0.3">
      <c r="B31" s="17" t="s">
        <v>92</v>
      </c>
      <c r="C31" s="17" t="s">
        <v>93</v>
      </c>
      <c r="D31" s="17">
        <v>0</v>
      </c>
      <c r="E31" s="17">
        <v>0</v>
      </c>
      <c r="F31" s="17">
        <v>60</v>
      </c>
      <c r="G31" s="17">
        <v>0</v>
      </c>
      <c r="H31" s="17">
        <v>1E+30</v>
      </c>
    </row>
    <row r="32" spans="2:8" x14ac:dyDescent="0.3">
      <c r="B32" s="17" t="s">
        <v>94</v>
      </c>
      <c r="C32" s="17" t="s">
        <v>95</v>
      </c>
      <c r="D32" s="17">
        <v>0</v>
      </c>
      <c r="E32" s="17">
        <v>0</v>
      </c>
      <c r="F32" s="17">
        <v>65</v>
      </c>
      <c r="G32" s="17">
        <v>0</v>
      </c>
      <c r="H32" s="17">
        <v>1E+30</v>
      </c>
    </row>
    <row r="33" spans="2:8" x14ac:dyDescent="0.3">
      <c r="B33" s="17" t="s">
        <v>96</v>
      </c>
      <c r="C33" s="17" t="s">
        <v>97</v>
      </c>
      <c r="D33" s="17">
        <v>0</v>
      </c>
      <c r="E33" s="17">
        <v>0</v>
      </c>
      <c r="F33" s="17">
        <v>90</v>
      </c>
      <c r="G33" s="17">
        <v>0</v>
      </c>
      <c r="H33" s="17">
        <v>1E+30</v>
      </c>
    </row>
    <row r="34" spans="2:8" x14ac:dyDescent="0.3">
      <c r="B34" s="17" t="s">
        <v>98</v>
      </c>
      <c r="C34" s="17" t="s">
        <v>99</v>
      </c>
      <c r="D34" s="17">
        <v>1</v>
      </c>
      <c r="E34" s="17">
        <v>40</v>
      </c>
      <c r="F34" s="17">
        <v>40</v>
      </c>
      <c r="G34" s="17">
        <v>1E+30</v>
      </c>
      <c r="H34" s="17">
        <v>40</v>
      </c>
    </row>
    <row r="35" spans="2:8" x14ac:dyDescent="0.3">
      <c r="B35" s="17" t="s">
        <v>100</v>
      </c>
      <c r="C35" s="17" t="s">
        <v>101</v>
      </c>
      <c r="D35" s="17">
        <v>0</v>
      </c>
      <c r="E35" s="17">
        <v>0</v>
      </c>
      <c r="F35" s="17">
        <v>50</v>
      </c>
      <c r="G35" s="17">
        <v>0</v>
      </c>
      <c r="H35" s="17">
        <v>1E+30</v>
      </c>
    </row>
    <row r="36" spans="2:8" x14ac:dyDescent="0.3">
      <c r="B36" s="17" t="s">
        <v>102</v>
      </c>
      <c r="C36" s="17" t="s">
        <v>103</v>
      </c>
      <c r="D36" s="17">
        <v>0</v>
      </c>
      <c r="E36" s="17">
        <v>0</v>
      </c>
      <c r="F36" s="17">
        <v>55</v>
      </c>
      <c r="G36" s="17">
        <v>0</v>
      </c>
      <c r="H36" s="17">
        <v>1E+30</v>
      </c>
    </row>
    <row r="37" spans="2:8" x14ac:dyDescent="0.3">
      <c r="B37" s="17" t="s">
        <v>104</v>
      </c>
      <c r="C37" s="17" t="s">
        <v>105</v>
      </c>
      <c r="D37" s="17">
        <v>0</v>
      </c>
      <c r="E37" s="17">
        <v>0</v>
      </c>
      <c r="F37" s="17">
        <v>85</v>
      </c>
      <c r="G37" s="17">
        <v>0</v>
      </c>
      <c r="H37" s="17">
        <v>1E+30</v>
      </c>
    </row>
    <row r="38" spans="2:8" x14ac:dyDescent="0.3">
      <c r="B38" s="17" t="s">
        <v>106</v>
      </c>
      <c r="C38" s="17" t="s">
        <v>107</v>
      </c>
      <c r="D38" s="17">
        <v>1</v>
      </c>
      <c r="E38" s="17">
        <v>0</v>
      </c>
      <c r="F38" s="17">
        <v>0</v>
      </c>
      <c r="G38" s="17">
        <v>0</v>
      </c>
      <c r="H38" s="17">
        <v>25</v>
      </c>
    </row>
    <row r="39" spans="2:8" x14ac:dyDescent="0.3">
      <c r="B39" s="17" t="s">
        <v>108</v>
      </c>
      <c r="C39" s="17" t="s">
        <v>109</v>
      </c>
      <c r="D39" s="17">
        <v>0</v>
      </c>
      <c r="E39" s="17">
        <v>0</v>
      </c>
      <c r="F39" s="17">
        <v>95</v>
      </c>
      <c r="G39" s="17">
        <v>0</v>
      </c>
      <c r="H39" s="17">
        <v>1E+30</v>
      </c>
    </row>
    <row r="40" spans="2:8" x14ac:dyDescent="0.3">
      <c r="B40" s="17" t="s">
        <v>110</v>
      </c>
      <c r="C40" s="17" t="s">
        <v>111</v>
      </c>
      <c r="D40" s="17">
        <v>0</v>
      </c>
      <c r="E40" s="17">
        <v>0</v>
      </c>
      <c r="F40" s="17">
        <v>80</v>
      </c>
      <c r="G40" s="17">
        <v>0</v>
      </c>
      <c r="H40" s="17">
        <v>1E+30</v>
      </c>
    </row>
    <row r="41" spans="2:8" x14ac:dyDescent="0.3">
      <c r="B41" s="17" t="s">
        <v>112</v>
      </c>
      <c r="C41" s="17" t="s">
        <v>113</v>
      </c>
      <c r="D41" s="17">
        <v>0</v>
      </c>
      <c r="E41" s="17">
        <v>0</v>
      </c>
      <c r="F41" s="17">
        <v>60</v>
      </c>
      <c r="G41" s="17">
        <v>0</v>
      </c>
      <c r="H41" s="17">
        <v>1E+30</v>
      </c>
    </row>
    <row r="42" spans="2:8" x14ac:dyDescent="0.3">
      <c r="B42" s="17" t="s">
        <v>114</v>
      </c>
      <c r="C42" s="17" t="s">
        <v>115</v>
      </c>
      <c r="D42" s="17">
        <v>0</v>
      </c>
      <c r="E42" s="17">
        <v>0</v>
      </c>
      <c r="F42" s="17">
        <v>65</v>
      </c>
      <c r="G42" s="17">
        <v>0</v>
      </c>
      <c r="H42" s="17">
        <v>1E+30</v>
      </c>
    </row>
    <row r="43" spans="2:8" x14ac:dyDescent="0.3">
      <c r="B43" s="17" t="s">
        <v>116</v>
      </c>
      <c r="C43" s="17" t="s">
        <v>117</v>
      </c>
      <c r="D43" s="17">
        <v>1</v>
      </c>
      <c r="E43" s="17">
        <v>0</v>
      </c>
      <c r="F43" s="17">
        <v>90</v>
      </c>
      <c r="G43" s="17">
        <v>1E+30</v>
      </c>
      <c r="H43" s="17">
        <v>0</v>
      </c>
    </row>
    <row r="44" spans="2:8" x14ac:dyDescent="0.3">
      <c r="B44" s="17" t="s">
        <v>118</v>
      </c>
      <c r="C44" s="17" t="s">
        <v>119</v>
      </c>
      <c r="D44" s="17">
        <v>0</v>
      </c>
      <c r="E44" s="17">
        <v>40</v>
      </c>
      <c r="F44" s="17">
        <v>40</v>
      </c>
      <c r="G44" s="17">
        <v>40</v>
      </c>
      <c r="H44" s="17">
        <v>1E+30</v>
      </c>
    </row>
    <row r="45" spans="2:8" x14ac:dyDescent="0.3">
      <c r="B45" s="17" t="s">
        <v>120</v>
      </c>
      <c r="C45" s="17" t="s">
        <v>121</v>
      </c>
      <c r="D45" s="17">
        <v>0</v>
      </c>
      <c r="E45" s="17">
        <v>0</v>
      </c>
      <c r="F45" s="17">
        <v>50</v>
      </c>
      <c r="G45" s="17">
        <v>0</v>
      </c>
      <c r="H45" s="17">
        <v>1E+30</v>
      </c>
    </row>
    <row r="46" spans="2:8" x14ac:dyDescent="0.3">
      <c r="B46" s="17" t="s">
        <v>122</v>
      </c>
      <c r="C46" s="17" t="s">
        <v>123</v>
      </c>
      <c r="D46" s="17">
        <v>0</v>
      </c>
      <c r="E46" s="17">
        <v>0</v>
      </c>
      <c r="F46" s="17">
        <v>55</v>
      </c>
      <c r="G46" s="17">
        <v>0</v>
      </c>
      <c r="H46" s="17">
        <v>1E+30</v>
      </c>
    </row>
    <row r="47" spans="2:8" x14ac:dyDescent="0.3">
      <c r="B47" s="17" t="s">
        <v>124</v>
      </c>
      <c r="C47" s="17" t="s">
        <v>125</v>
      </c>
      <c r="D47" s="17">
        <v>0</v>
      </c>
      <c r="E47" s="17">
        <v>0</v>
      </c>
      <c r="F47" s="17">
        <v>85</v>
      </c>
      <c r="G47" s="17">
        <v>0</v>
      </c>
      <c r="H47" s="17">
        <v>1E+30</v>
      </c>
    </row>
    <row r="48" spans="2:8" x14ac:dyDescent="0.3">
      <c r="B48" s="17" t="s">
        <v>126</v>
      </c>
      <c r="C48" s="17" t="s">
        <v>127</v>
      </c>
      <c r="D48" s="17">
        <v>1</v>
      </c>
      <c r="E48" s="17">
        <v>0</v>
      </c>
      <c r="F48" s="17">
        <v>0</v>
      </c>
      <c r="G48" s="17">
        <v>1E+30</v>
      </c>
      <c r="H48" s="17">
        <v>0</v>
      </c>
    </row>
    <row r="49" spans="1:8" ht="15" thickBot="1" x14ac:dyDescent="0.35">
      <c r="B49" s="15" t="s">
        <v>128</v>
      </c>
      <c r="C49" s="15" t="s">
        <v>240</v>
      </c>
      <c r="D49" s="15">
        <v>1</v>
      </c>
      <c r="E49" s="15">
        <v>0</v>
      </c>
      <c r="F49" s="15">
        <v>100</v>
      </c>
      <c r="G49" s="15">
        <v>1E+30</v>
      </c>
      <c r="H49" s="15">
        <v>100</v>
      </c>
    </row>
    <row r="51" spans="1:8" ht="15" thickBot="1" x14ac:dyDescent="0.35">
      <c r="A51" t="s">
        <v>40</v>
      </c>
    </row>
    <row r="52" spans="1:8" x14ac:dyDescent="0.3">
      <c r="B52" s="21"/>
      <c r="C52" s="21"/>
      <c r="D52" s="21" t="s">
        <v>243</v>
      </c>
      <c r="E52" s="21" t="s">
        <v>252</v>
      </c>
      <c r="F52" s="21" t="s">
        <v>254</v>
      </c>
      <c r="G52" s="21" t="s">
        <v>249</v>
      </c>
      <c r="H52" s="21" t="s">
        <v>249</v>
      </c>
    </row>
    <row r="53" spans="1:8" ht="15" thickBot="1" x14ac:dyDescent="0.35">
      <c r="B53" s="22" t="s">
        <v>34</v>
      </c>
      <c r="C53" s="22" t="s">
        <v>35</v>
      </c>
      <c r="D53" s="22" t="s">
        <v>244</v>
      </c>
      <c r="E53" s="22" t="s">
        <v>253</v>
      </c>
      <c r="F53" s="22" t="s">
        <v>255</v>
      </c>
      <c r="G53" s="22" t="s">
        <v>250</v>
      </c>
      <c r="H53" s="22" t="s">
        <v>251</v>
      </c>
    </row>
    <row r="54" spans="1:8" x14ac:dyDescent="0.3">
      <c r="B54" s="17" t="s">
        <v>128</v>
      </c>
      <c r="C54" s="17" t="s">
        <v>240</v>
      </c>
      <c r="D54" s="17">
        <v>1</v>
      </c>
      <c r="E54" s="17">
        <v>100</v>
      </c>
      <c r="F54" s="17">
        <v>0</v>
      </c>
      <c r="G54" s="17">
        <v>1E+30</v>
      </c>
      <c r="H54" s="17">
        <v>1</v>
      </c>
    </row>
    <row r="55" spans="1:8" x14ac:dyDescent="0.3">
      <c r="B55" s="17" t="s">
        <v>132</v>
      </c>
      <c r="C55" s="17" t="s">
        <v>220</v>
      </c>
      <c r="D55" s="17">
        <v>1</v>
      </c>
      <c r="E55" s="17">
        <v>95</v>
      </c>
      <c r="F55" s="17">
        <v>1</v>
      </c>
      <c r="G55" s="17">
        <v>0</v>
      </c>
      <c r="H55" s="17">
        <v>1</v>
      </c>
    </row>
    <row r="56" spans="1:8" x14ac:dyDescent="0.3">
      <c r="B56" s="17" t="s">
        <v>134</v>
      </c>
      <c r="C56" s="17" t="s">
        <v>221</v>
      </c>
      <c r="D56" s="17">
        <v>1</v>
      </c>
      <c r="E56" s="17">
        <v>80</v>
      </c>
      <c r="F56" s="17">
        <v>1</v>
      </c>
      <c r="G56" s="17">
        <v>1</v>
      </c>
      <c r="H56" s="17">
        <v>0</v>
      </c>
    </row>
    <row r="57" spans="1:8" x14ac:dyDescent="0.3">
      <c r="B57" s="17" t="s">
        <v>136</v>
      </c>
      <c r="C57" s="17" t="s">
        <v>222</v>
      </c>
      <c r="D57" s="17">
        <v>1</v>
      </c>
      <c r="E57" s="17">
        <v>60</v>
      </c>
      <c r="F57" s="17">
        <v>1</v>
      </c>
      <c r="G57" s="17">
        <v>0</v>
      </c>
      <c r="H57" s="17">
        <v>1</v>
      </c>
    </row>
    <row r="58" spans="1:8" x14ac:dyDescent="0.3">
      <c r="B58" s="17" t="s">
        <v>138</v>
      </c>
      <c r="C58" s="17" t="s">
        <v>223</v>
      </c>
      <c r="D58" s="17">
        <v>1</v>
      </c>
      <c r="E58" s="17">
        <v>65</v>
      </c>
      <c r="F58" s="17">
        <v>1</v>
      </c>
      <c r="G58" s="17">
        <v>0</v>
      </c>
      <c r="H58" s="17">
        <v>1</v>
      </c>
    </row>
    <row r="59" spans="1:8" x14ac:dyDescent="0.3">
      <c r="B59" s="17" t="s">
        <v>140</v>
      </c>
      <c r="C59" s="17" t="s">
        <v>224</v>
      </c>
      <c r="D59" s="17">
        <v>1</v>
      </c>
      <c r="E59" s="17">
        <v>90</v>
      </c>
      <c r="F59" s="17">
        <v>1</v>
      </c>
      <c r="G59" s="17">
        <v>1</v>
      </c>
      <c r="H59" s="17">
        <v>0</v>
      </c>
    </row>
    <row r="60" spans="1:8" x14ac:dyDescent="0.3">
      <c r="B60" s="17" t="s">
        <v>142</v>
      </c>
      <c r="C60" s="17" t="s">
        <v>225</v>
      </c>
      <c r="D60" s="17">
        <v>1</v>
      </c>
      <c r="E60" s="17">
        <v>0</v>
      </c>
      <c r="F60" s="17">
        <v>1</v>
      </c>
      <c r="G60" s="17">
        <v>1E+30</v>
      </c>
      <c r="H60" s="17">
        <v>0</v>
      </c>
    </row>
    <row r="61" spans="1:8" x14ac:dyDescent="0.3">
      <c r="B61" s="17" t="s">
        <v>144</v>
      </c>
      <c r="C61" s="17" t="s">
        <v>226</v>
      </c>
      <c r="D61" s="17">
        <v>1</v>
      </c>
      <c r="E61" s="17">
        <v>50</v>
      </c>
      <c r="F61" s="17">
        <v>1</v>
      </c>
      <c r="G61" s="17">
        <v>0</v>
      </c>
      <c r="H61" s="17">
        <v>1</v>
      </c>
    </row>
    <row r="62" spans="1:8" x14ac:dyDescent="0.3">
      <c r="B62" s="17" t="s">
        <v>146</v>
      </c>
      <c r="C62" s="17" t="s">
        <v>227</v>
      </c>
      <c r="D62" s="17">
        <v>1</v>
      </c>
      <c r="E62" s="17">
        <v>55</v>
      </c>
      <c r="F62" s="17">
        <v>1</v>
      </c>
      <c r="G62" s="17">
        <v>0</v>
      </c>
      <c r="H62" s="17">
        <v>1</v>
      </c>
    </row>
    <row r="63" spans="1:8" x14ac:dyDescent="0.3">
      <c r="B63" s="17" t="s">
        <v>148</v>
      </c>
      <c r="C63" s="17" t="s">
        <v>228</v>
      </c>
      <c r="D63" s="17">
        <v>1</v>
      </c>
      <c r="E63" s="17">
        <v>85</v>
      </c>
      <c r="F63" s="17">
        <v>1</v>
      </c>
      <c r="G63" s="17">
        <v>0</v>
      </c>
      <c r="H63" s="17">
        <v>1</v>
      </c>
    </row>
    <row r="64" spans="1:8" x14ac:dyDescent="0.3">
      <c r="B64" s="17" t="s">
        <v>150</v>
      </c>
      <c r="C64" s="17" t="s">
        <v>229</v>
      </c>
      <c r="D64" s="17">
        <v>4</v>
      </c>
      <c r="E64" s="17">
        <v>25</v>
      </c>
      <c r="F64" s="17">
        <v>4</v>
      </c>
      <c r="G64" s="17">
        <v>0</v>
      </c>
      <c r="H64" s="17">
        <v>1</v>
      </c>
    </row>
    <row r="65" spans="2:8" x14ac:dyDescent="0.3">
      <c r="B65" s="17" t="s">
        <v>152</v>
      </c>
      <c r="C65" s="17" t="s">
        <v>153</v>
      </c>
      <c r="D65" s="17">
        <v>5</v>
      </c>
      <c r="E65" s="17">
        <v>0</v>
      </c>
      <c r="F65" s="17">
        <v>1</v>
      </c>
      <c r="G65" s="17">
        <v>4</v>
      </c>
      <c r="H65" s="17">
        <v>1E+30</v>
      </c>
    </row>
    <row r="66" spans="2:8" x14ac:dyDescent="0.3">
      <c r="B66" s="17" t="s">
        <v>156</v>
      </c>
      <c r="C66" s="17" t="s">
        <v>157</v>
      </c>
      <c r="D66" s="17">
        <v>4</v>
      </c>
      <c r="E66" s="17">
        <v>0</v>
      </c>
      <c r="F66" s="17">
        <v>1</v>
      </c>
      <c r="G66" s="17">
        <v>3</v>
      </c>
      <c r="H66" s="17">
        <v>1E+30</v>
      </c>
    </row>
    <row r="67" spans="2:8" x14ac:dyDescent="0.3">
      <c r="B67" s="17" t="s">
        <v>159</v>
      </c>
      <c r="C67" s="17" t="s">
        <v>160</v>
      </c>
      <c r="D67" s="17">
        <v>2</v>
      </c>
      <c r="E67" s="17">
        <v>0</v>
      </c>
      <c r="F67" s="17">
        <v>1</v>
      </c>
      <c r="G67" s="17">
        <v>1</v>
      </c>
      <c r="H67" s="17">
        <v>1E+30</v>
      </c>
    </row>
    <row r="68" spans="2:8" x14ac:dyDescent="0.3">
      <c r="B68" s="17" t="s">
        <v>162</v>
      </c>
      <c r="C68" s="17" t="s">
        <v>163</v>
      </c>
      <c r="D68" s="17">
        <v>2</v>
      </c>
      <c r="E68" s="17">
        <v>0</v>
      </c>
      <c r="F68" s="17">
        <v>1</v>
      </c>
      <c r="G68" s="17">
        <v>1</v>
      </c>
      <c r="H68" s="17">
        <v>1E+30</v>
      </c>
    </row>
    <row r="69" spans="2:8" x14ac:dyDescent="0.3">
      <c r="B69" s="17" t="s">
        <v>165</v>
      </c>
      <c r="C69" s="17" t="s">
        <v>166</v>
      </c>
      <c r="D69" s="17">
        <v>1340</v>
      </c>
      <c r="E69" s="17">
        <v>0</v>
      </c>
      <c r="F69" s="17">
        <v>2500</v>
      </c>
      <c r="G69" s="17">
        <v>1E+30</v>
      </c>
      <c r="H69" s="17">
        <v>1160</v>
      </c>
    </row>
    <row r="70" spans="2:8" x14ac:dyDescent="0.3">
      <c r="B70" s="17" t="s">
        <v>168</v>
      </c>
      <c r="C70" s="17" t="s">
        <v>169</v>
      </c>
      <c r="D70" s="17">
        <v>1150</v>
      </c>
      <c r="E70" s="17">
        <v>0</v>
      </c>
      <c r="F70" s="17">
        <v>1600</v>
      </c>
      <c r="G70" s="17">
        <v>1E+30</v>
      </c>
      <c r="H70" s="17">
        <v>450</v>
      </c>
    </row>
    <row r="71" spans="2:8" x14ac:dyDescent="0.3">
      <c r="B71" s="17" t="s">
        <v>171</v>
      </c>
      <c r="C71" s="17" t="s">
        <v>172</v>
      </c>
      <c r="D71" s="17">
        <v>320</v>
      </c>
      <c r="E71" s="17">
        <v>0</v>
      </c>
      <c r="F71" s="17">
        <v>1200</v>
      </c>
      <c r="G71" s="17">
        <v>1E+30</v>
      </c>
      <c r="H71" s="17">
        <v>880</v>
      </c>
    </row>
    <row r="72" spans="2:8" ht="15" thickBot="1" x14ac:dyDescent="0.35">
      <c r="B72" s="15" t="s">
        <v>174</v>
      </c>
      <c r="C72" s="15" t="s">
        <v>175</v>
      </c>
      <c r="D72" s="15">
        <v>170</v>
      </c>
      <c r="E72" s="15">
        <v>0</v>
      </c>
      <c r="F72" s="15">
        <v>512</v>
      </c>
      <c r="G72" s="15">
        <v>1E+30</v>
      </c>
      <c r="H72" s="15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showGridLines="0" workbookViewId="0"/>
  </sheetViews>
  <sheetFormatPr defaultRowHeight="14.4" x14ac:dyDescent="0.3"/>
  <cols>
    <col min="1" max="1" width="2.33203125" customWidth="1"/>
    <col min="2" max="2" width="6.109375" bestFit="1" customWidth="1"/>
    <col min="3" max="3" width="9" bestFit="1" customWidth="1"/>
    <col min="4" max="4" width="5.77734375" customWidth="1"/>
    <col min="5" max="5" width="2.33203125" customWidth="1"/>
    <col min="6" max="6" width="6.109375" customWidth="1"/>
    <col min="7" max="7" width="9" bestFit="1" customWidth="1"/>
    <col min="8" max="8" width="2.33203125" customWidth="1"/>
    <col min="9" max="9" width="6.21875" customWidth="1"/>
    <col min="10" max="10" width="9" bestFit="1" customWidth="1"/>
  </cols>
  <sheetData>
    <row r="1" spans="1:10" x14ac:dyDescent="0.3">
      <c r="A1" s="14" t="s">
        <v>256</v>
      </c>
    </row>
    <row r="2" spans="1:10" x14ac:dyDescent="0.3">
      <c r="A2" s="14" t="s">
        <v>26</v>
      </c>
    </row>
    <row r="3" spans="1:10" x14ac:dyDescent="0.3">
      <c r="A3" s="14" t="s">
        <v>257</v>
      </c>
    </row>
    <row r="5" spans="1:10" ht="15" thickBot="1" x14ac:dyDescent="0.35"/>
    <row r="6" spans="1:10" x14ac:dyDescent="0.3">
      <c r="B6" s="21"/>
      <c r="C6" s="21" t="s">
        <v>247</v>
      </c>
      <c r="D6" s="21"/>
    </row>
    <row r="7" spans="1:10" ht="15" thickBot="1" x14ac:dyDescent="0.35">
      <c r="B7" s="22" t="s">
        <v>34</v>
      </c>
      <c r="C7" s="22" t="s">
        <v>35</v>
      </c>
      <c r="D7" s="22" t="s">
        <v>244</v>
      </c>
    </row>
    <row r="8" spans="1:10" ht="15" thickBot="1" x14ac:dyDescent="0.35">
      <c r="B8" s="15" t="s">
        <v>45</v>
      </c>
      <c r="C8" s="15" t="s">
        <v>46</v>
      </c>
      <c r="D8" s="18">
        <v>720</v>
      </c>
    </row>
    <row r="10" spans="1:10" ht="15" thickBot="1" x14ac:dyDescent="0.35"/>
    <row r="11" spans="1:10" x14ac:dyDescent="0.3">
      <c r="B11" s="21"/>
      <c r="C11" s="21" t="s">
        <v>258</v>
      </c>
      <c r="D11" s="21"/>
      <c r="F11" s="21" t="s">
        <v>259</v>
      </c>
      <c r="G11" s="21" t="s">
        <v>247</v>
      </c>
      <c r="I11" s="21" t="s">
        <v>262</v>
      </c>
      <c r="J11" s="21" t="s">
        <v>247</v>
      </c>
    </row>
    <row r="12" spans="1:10" ht="15" thickBot="1" x14ac:dyDescent="0.35">
      <c r="B12" s="22" t="s">
        <v>34</v>
      </c>
      <c r="C12" s="22" t="s">
        <v>35</v>
      </c>
      <c r="D12" s="22" t="s">
        <v>244</v>
      </c>
      <c r="F12" s="22" t="s">
        <v>260</v>
      </c>
      <c r="G12" s="22" t="s">
        <v>261</v>
      </c>
      <c r="I12" s="22" t="s">
        <v>260</v>
      </c>
      <c r="J12" s="22" t="s">
        <v>261</v>
      </c>
    </row>
    <row r="13" spans="1:10" x14ac:dyDescent="0.3">
      <c r="B13" s="17" t="s">
        <v>47</v>
      </c>
      <c r="C13" s="17" t="s">
        <v>48</v>
      </c>
      <c r="D13" s="19">
        <v>1</v>
      </c>
      <c r="F13" s="19">
        <v>0</v>
      </c>
      <c r="G13" s="19">
        <v>625</v>
      </c>
      <c r="I13" s="19">
        <v>1</v>
      </c>
      <c r="J13" s="19">
        <v>720</v>
      </c>
    </row>
    <row r="14" spans="1:10" x14ac:dyDescent="0.3">
      <c r="B14" s="17" t="s">
        <v>50</v>
      </c>
      <c r="C14" s="17" t="s">
        <v>51</v>
      </c>
      <c r="D14" s="19">
        <v>0</v>
      </c>
      <c r="F14" s="19">
        <v>0</v>
      </c>
      <c r="G14" s="19">
        <v>720</v>
      </c>
      <c r="I14" s="19">
        <v>0</v>
      </c>
      <c r="J14" s="19">
        <v>720</v>
      </c>
    </row>
    <row r="15" spans="1:10" x14ac:dyDescent="0.3">
      <c r="B15" s="17" t="s">
        <v>52</v>
      </c>
      <c r="C15" s="17" t="s">
        <v>53</v>
      </c>
      <c r="D15" s="19">
        <v>1</v>
      </c>
      <c r="F15" s="19">
        <v>0</v>
      </c>
      <c r="G15" s="19">
        <v>660</v>
      </c>
      <c r="I15" s="19">
        <v>1</v>
      </c>
      <c r="J15" s="19">
        <v>720</v>
      </c>
    </row>
    <row r="16" spans="1:10" x14ac:dyDescent="0.3">
      <c r="B16" s="17" t="s">
        <v>54</v>
      </c>
      <c r="C16" s="17" t="s">
        <v>55</v>
      </c>
      <c r="D16" s="19">
        <v>0</v>
      </c>
      <c r="F16" s="19">
        <v>0</v>
      </c>
      <c r="G16" s="19">
        <v>720</v>
      </c>
      <c r="I16" s="19">
        <v>0</v>
      </c>
      <c r="J16" s="19">
        <v>720</v>
      </c>
    </row>
    <row r="17" spans="2:10" x14ac:dyDescent="0.3">
      <c r="B17" s="17" t="s">
        <v>56</v>
      </c>
      <c r="C17" s="17" t="s">
        <v>57</v>
      </c>
      <c r="D17" s="19">
        <v>0</v>
      </c>
      <c r="F17" s="19">
        <v>0</v>
      </c>
      <c r="G17" s="19">
        <v>720</v>
      </c>
      <c r="I17" s="19">
        <v>0</v>
      </c>
      <c r="J17" s="19">
        <v>720</v>
      </c>
    </row>
    <row r="18" spans="2:10" x14ac:dyDescent="0.3">
      <c r="B18" s="17" t="s">
        <v>58</v>
      </c>
      <c r="C18" s="17" t="s">
        <v>59</v>
      </c>
      <c r="D18" s="19">
        <v>0</v>
      </c>
      <c r="F18" s="19">
        <v>0</v>
      </c>
      <c r="G18" s="19">
        <v>720</v>
      </c>
      <c r="I18" s="19">
        <v>0</v>
      </c>
      <c r="J18" s="19">
        <v>720</v>
      </c>
    </row>
    <row r="19" spans="2:10" x14ac:dyDescent="0.3">
      <c r="B19" s="17" t="s">
        <v>60</v>
      </c>
      <c r="C19" s="17" t="s">
        <v>61</v>
      </c>
      <c r="D19" s="19">
        <v>1</v>
      </c>
      <c r="F19" s="19">
        <v>0</v>
      </c>
      <c r="G19" s="19">
        <v>670</v>
      </c>
      <c r="I19" s="19">
        <v>1</v>
      </c>
      <c r="J19" s="19">
        <v>720</v>
      </c>
    </row>
    <row r="20" spans="2:10" x14ac:dyDescent="0.3">
      <c r="B20" s="17" t="s">
        <v>62</v>
      </c>
      <c r="C20" s="17" t="s">
        <v>63</v>
      </c>
      <c r="D20" s="19">
        <v>0</v>
      </c>
      <c r="F20" s="19">
        <v>0</v>
      </c>
      <c r="G20" s="19">
        <v>720</v>
      </c>
      <c r="I20" s="19">
        <v>0</v>
      </c>
      <c r="J20" s="19">
        <v>720</v>
      </c>
    </row>
    <row r="21" spans="2:10" x14ac:dyDescent="0.3">
      <c r="B21" s="17" t="s">
        <v>64</v>
      </c>
      <c r="C21" s="17" t="s">
        <v>65</v>
      </c>
      <c r="D21" s="19">
        <v>1</v>
      </c>
      <c r="F21" s="19">
        <v>0</v>
      </c>
      <c r="G21" s="19">
        <v>635</v>
      </c>
      <c r="I21" s="19">
        <v>1</v>
      </c>
      <c r="J21" s="19">
        <v>720</v>
      </c>
    </row>
    <row r="22" spans="2:10" x14ac:dyDescent="0.3">
      <c r="B22" s="17" t="s">
        <v>66</v>
      </c>
      <c r="C22" s="17" t="s">
        <v>67</v>
      </c>
      <c r="D22" s="19">
        <v>1</v>
      </c>
      <c r="F22" s="19">
        <v>1</v>
      </c>
      <c r="G22" s="19">
        <v>720</v>
      </c>
      <c r="I22" s="19">
        <v>1</v>
      </c>
      <c r="J22" s="19">
        <v>720</v>
      </c>
    </row>
    <row r="23" spans="2:10" x14ac:dyDescent="0.3">
      <c r="B23" s="17" t="s">
        <v>68</v>
      </c>
      <c r="C23" s="17" t="s">
        <v>69</v>
      </c>
      <c r="D23" s="19">
        <v>0</v>
      </c>
      <c r="F23" s="19">
        <v>0</v>
      </c>
      <c r="G23" s="19">
        <v>720</v>
      </c>
      <c r="I23" s="19">
        <v>0</v>
      </c>
      <c r="J23" s="19">
        <v>720</v>
      </c>
    </row>
    <row r="24" spans="2:10" x14ac:dyDescent="0.3">
      <c r="B24" s="17" t="s">
        <v>70</v>
      </c>
      <c r="C24" s="17" t="s">
        <v>71</v>
      </c>
      <c r="D24" s="19">
        <v>1</v>
      </c>
      <c r="F24" s="19">
        <v>0</v>
      </c>
      <c r="G24" s="19">
        <v>640</v>
      </c>
      <c r="I24" s="19">
        <v>1</v>
      </c>
      <c r="J24" s="19">
        <v>720</v>
      </c>
    </row>
    <row r="25" spans="2:10" x14ac:dyDescent="0.3">
      <c r="B25" s="17" t="s">
        <v>72</v>
      </c>
      <c r="C25" s="17" t="s">
        <v>73</v>
      </c>
      <c r="D25" s="19">
        <v>0</v>
      </c>
      <c r="F25" s="19">
        <v>0</v>
      </c>
      <c r="G25" s="19">
        <v>720</v>
      </c>
      <c r="I25" s="19">
        <v>0</v>
      </c>
      <c r="J25" s="19">
        <v>720</v>
      </c>
    </row>
    <row r="26" spans="2:10" x14ac:dyDescent="0.3">
      <c r="B26" s="17" t="s">
        <v>74</v>
      </c>
      <c r="C26" s="17" t="s">
        <v>75</v>
      </c>
      <c r="D26" s="19">
        <v>1</v>
      </c>
      <c r="F26" s="19">
        <v>0</v>
      </c>
      <c r="G26" s="19">
        <v>655</v>
      </c>
      <c r="I26" s="19">
        <v>1</v>
      </c>
      <c r="J26" s="19">
        <v>720</v>
      </c>
    </row>
    <row r="27" spans="2:10" x14ac:dyDescent="0.3">
      <c r="B27" s="17" t="s">
        <v>76</v>
      </c>
      <c r="C27" s="17" t="s">
        <v>77</v>
      </c>
      <c r="D27" s="19">
        <v>0</v>
      </c>
      <c r="F27" s="19">
        <v>0</v>
      </c>
      <c r="G27" s="19">
        <v>720</v>
      </c>
      <c r="I27" s="19">
        <v>0</v>
      </c>
      <c r="J27" s="19">
        <v>720</v>
      </c>
    </row>
    <row r="28" spans="2:10" x14ac:dyDescent="0.3">
      <c r="B28" s="17" t="s">
        <v>78</v>
      </c>
      <c r="C28" s="17" t="s">
        <v>79</v>
      </c>
      <c r="D28" s="19">
        <v>0</v>
      </c>
      <c r="F28" s="19">
        <v>0</v>
      </c>
      <c r="G28" s="19">
        <v>720</v>
      </c>
      <c r="I28" s="19">
        <v>0</v>
      </c>
      <c r="J28" s="19">
        <v>720</v>
      </c>
    </row>
    <row r="29" spans="2:10" x14ac:dyDescent="0.3">
      <c r="B29" s="17" t="s">
        <v>80</v>
      </c>
      <c r="C29" s="17" t="s">
        <v>81</v>
      </c>
      <c r="D29" s="19">
        <v>0</v>
      </c>
      <c r="F29" s="19">
        <v>0</v>
      </c>
      <c r="G29" s="19">
        <v>720</v>
      </c>
      <c r="I29" s="19">
        <v>0</v>
      </c>
      <c r="J29" s="19">
        <v>720</v>
      </c>
    </row>
    <row r="30" spans="2:10" x14ac:dyDescent="0.3">
      <c r="B30" s="17" t="s">
        <v>82</v>
      </c>
      <c r="C30" s="17" t="s">
        <v>83</v>
      </c>
      <c r="D30" s="19">
        <v>1</v>
      </c>
      <c r="F30" s="19">
        <v>0</v>
      </c>
      <c r="G30" s="19">
        <v>665</v>
      </c>
      <c r="I30" s="19">
        <v>1</v>
      </c>
      <c r="J30" s="19">
        <v>720</v>
      </c>
    </row>
    <row r="31" spans="2:10" x14ac:dyDescent="0.3">
      <c r="B31" s="17" t="s">
        <v>84</v>
      </c>
      <c r="C31" s="17" t="s">
        <v>85</v>
      </c>
      <c r="D31" s="19">
        <v>0</v>
      </c>
      <c r="F31" s="19">
        <v>0</v>
      </c>
      <c r="G31" s="19">
        <v>720</v>
      </c>
      <c r="I31" s="19">
        <v>0</v>
      </c>
      <c r="J31" s="19">
        <v>720</v>
      </c>
    </row>
    <row r="32" spans="2:10" x14ac:dyDescent="0.3">
      <c r="B32" s="17" t="s">
        <v>86</v>
      </c>
      <c r="C32" s="17" t="s">
        <v>87</v>
      </c>
      <c r="D32" s="19">
        <v>1</v>
      </c>
      <c r="F32" s="19">
        <v>1</v>
      </c>
      <c r="G32" s="19">
        <v>720</v>
      </c>
      <c r="I32" s="19">
        <v>1</v>
      </c>
      <c r="J32" s="19">
        <v>720</v>
      </c>
    </row>
    <row r="33" spans="2:10" x14ac:dyDescent="0.3">
      <c r="B33" s="17" t="s">
        <v>88</v>
      </c>
      <c r="C33" s="17" t="s">
        <v>89</v>
      </c>
      <c r="D33" s="19">
        <v>0</v>
      </c>
      <c r="F33" s="19">
        <v>0</v>
      </c>
      <c r="G33" s="19">
        <v>720</v>
      </c>
      <c r="I33" s="19">
        <v>0</v>
      </c>
      <c r="J33" s="19">
        <v>720</v>
      </c>
    </row>
    <row r="34" spans="2:10" x14ac:dyDescent="0.3">
      <c r="B34" s="17" t="s">
        <v>90</v>
      </c>
      <c r="C34" s="17" t="s">
        <v>91</v>
      </c>
      <c r="D34" s="19">
        <v>0</v>
      </c>
      <c r="F34" s="19">
        <v>0</v>
      </c>
      <c r="G34" s="19">
        <v>720</v>
      </c>
      <c r="I34" s="19">
        <v>0</v>
      </c>
      <c r="J34" s="19">
        <v>720</v>
      </c>
    </row>
    <row r="35" spans="2:10" x14ac:dyDescent="0.3">
      <c r="B35" s="17" t="s">
        <v>92</v>
      </c>
      <c r="C35" s="17" t="s">
        <v>93</v>
      </c>
      <c r="D35" s="19">
        <v>0</v>
      </c>
      <c r="F35" s="19">
        <v>0</v>
      </c>
      <c r="G35" s="19">
        <v>720</v>
      </c>
      <c r="I35" s="19">
        <v>0</v>
      </c>
      <c r="J35" s="19">
        <v>720</v>
      </c>
    </row>
    <row r="36" spans="2:10" x14ac:dyDescent="0.3">
      <c r="B36" s="17" t="s">
        <v>94</v>
      </c>
      <c r="C36" s="17" t="s">
        <v>95</v>
      </c>
      <c r="D36" s="19">
        <v>0</v>
      </c>
      <c r="F36" s="19">
        <v>0</v>
      </c>
      <c r="G36" s="19">
        <v>720</v>
      </c>
      <c r="I36" s="19">
        <v>0</v>
      </c>
      <c r="J36" s="19">
        <v>720</v>
      </c>
    </row>
    <row r="37" spans="2:10" x14ac:dyDescent="0.3">
      <c r="B37" s="17" t="s">
        <v>96</v>
      </c>
      <c r="C37" s="17" t="s">
        <v>97</v>
      </c>
      <c r="D37" s="19">
        <v>0</v>
      </c>
      <c r="F37" s="19">
        <v>0</v>
      </c>
      <c r="G37" s="19">
        <v>720</v>
      </c>
      <c r="I37" s="19">
        <v>0</v>
      </c>
      <c r="J37" s="19">
        <v>720</v>
      </c>
    </row>
    <row r="38" spans="2:10" x14ac:dyDescent="0.3">
      <c r="B38" s="17" t="s">
        <v>98</v>
      </c>
      <c r="C38" s="17" t="s">
        <v>99</v>
      </c>
      <c r="D38" s="19">
        <v>1</v>
      </c>
      <c r="F38" s="19">
        <v>0</v>
      </c>
      <c r="G38" s="19">
        <v>680</v>
      </c>
      <c r="I38" s="19">
        <v>1</v>
      </c>
      <c r="J38" s="19">
        <v>720</v>
      </c>
    </row>
    <row r="39" spans="2:10" x14ac:dyDescent="0.3">
      <c r="B39" s="17" t="s">
        <v>100</v>
      </c>
      <c r="C39" s="17" t="s">
        <v>101</v>
      </c>
      <c r="D39" s="19">
        <v>0</v>
      </c>
      <c r="F39" s="19">
        <v>0</v>
      </c>
      <c r="G39" s="19">
        <v>720</v>
      </c>
      <c r="I39" s="19">
        <v>0</v>
      </c>
      <c r="J39" s="19">
        <v>720</v>
      </c>
    </row>
    <row r="40" spans="2:10" x14ac:dyDescent="0.3">
      <c r="B40" s="17" t="s">
        <v>102</v>
      </c>
      <c r="C40" s="17" t="s">
        <v>103</v>
      </c>
      <c r="D40" s="19">
        <v>0</v>
      </c>
      <c r="F40" s="19">
        <v>0</v>
      </c>
      <c r="G40" s="19">
        <v>720</v>
      </c>
      <c r="I40" s="19">
        <v>0</v>
      </c>
      <c r="J40" s="19">
        <v>720</v>
      </c>
    </row>
    <row r="41" spans="2:10" x14ac:dyDescent="0.3">
      <c r="B41" s="17" t="s">
        <v>104</v>
      </c>
      <c r="C41" s="17" t="s">
        <v>105</v>
      </c>
      <c r="D41" s="19">
        <v>0</v>
      </c>
      <c r="F41" s="19">
        <v>0</v>
      </c>
      <c r="G41" s="19">
        <v>720</v>
      </c>
      <c r="I41" s="19">
        <v>0</v>
      </c>
      <c r="J41" s="19">
        <v>720</v>
      </c>
    </row>
    <row r="42" spans="2:10" x14ac:dyDescent="0.3">
      <c r="B42" s="17" t="s">
        <v>106</v>
      </c>
      <c r="C42" s="17" t="s">
        <v>107</v>
      </c>
      <c r="D42" s="19">
        <v>1</v>
      </c>
      <c r="F42" s="19">
        <v>1</v>
      </c>
      <c r="G42" s="19">
        <v>720</v>
      </c>
      <c r="I42" s="19">
        <v>1</v>
      </c>
      <c r="J42" s="19">
        <v>720</v>
      </c>
    </row>
    <row r="43" spans="2:10" x14ac:dyDescent="0.3">
      <c r="B43" s="17" t="s">
        <v>108</v>
      </c>
      <c r="C43" s="17" t="s">
        <v>109</v>
      </c>
      <c r="D43" s="19">
        <v>0</v>
      </c>
      <c r="F43" s="19">
        <v>0</v>
      </c>
      <c r="G43" s="19">
        <v>720</v>
      </c>
      <c r="I43" s="19">
        <v>0</v>
      </c>
      <c r="J43" s="19">
        <v>720</v>
      </c>
    </row>
    <row r="44" spans="2:10" x14ac:dyDescent="0.3">
      <c r="B44" s="17" t="s">
        <v>110</v>
      </c>
      <c r="C44" s="17" t="s">
        <v>111</v>
      </c>
      <c r="D44" s="19">
        <v>0</v>
      </c>
      <c r="F44" s="19">
        <v>0</v>
      </c>
      <c r="G44" s="19">
        <v>720</v>
      </c>
      <c r="I44" s="19">
        <v>0</v>
      </c>
      <c r="J44" s="19">
        <v>720</v>
      </c>
    </row>
    <row r="45" spans="2:10" x14ac:dyDescent="0.3">
      <c r="B45" s="17" t="s">
        <v>112</v>
      </c>
      <c r="C45" s="17" t="s">
        <v>113</v>
      </c>
      <c r="D45" s="19">
        <v>0</v>
      </c>
      <c r="F45" s="19">
        <v>0</v>
      </c>
      <c r="G45" s="19">
        <v>720</v>
      </c>
      <c r="I45" s="19">
        <v>0</v>
      </c>
      <c r="J45" s="19">
        <v>720</v>
      </c>
    </row>
    <row r="46" spans="2:10" x14ac:dyDescent="0.3">
      <c r="B46" s="17" t="s">
        <v>114</v>
      </c>
      <c r="C46" s="17" t="s">
        <v>115</v>
      </c>
      <c r="D46" s="19">
        <v>0</v>
      </c>
      <c r="F46" s="19">
        <v>0</v>
      </c>
      <c r="G46" s="19">
        <v>720</v>
      </c>
      <c r="I46" s="19">
        <v>0</v>
      </c>
      <c r="J46" s="19">
        <v>720</v>
      </c>
    </row>
    <row r="47" spans="2:10" x14ac:dyDescent="0.3">
      <c r="B47" s="17" t="s">
        <v>116</v>
      </c>
      <c r="C47" s="17" t="s">
        <v>117</v>
      </c>
      <c r="D47" s="19">
        <v>1</v>
      </c>
      <c r="F47" s="19">
        <v>0</v>
      </c>
      <c r="G47" s="19">
        <v>630</v>
      </c>
      <c r="I47" s="19">
        <v>1</v>
      </c>
      <c r="J47" s="19">
        <v>720</v>
      </c>
    </row>
    <row r="48" spans="2:10" x14ac:dyDescent="0.3">
      <c r="B48" s="17" t="s">
        <v>118</v>
      </c>
      <c r="C48" s="17" t="s">
        <v>119</v>
      </c>
      <c r="D48" s="19">
        <v>0</v>
      </c>
      <c r="F48" s="19">
        <v>0</v>
      </c>
      <c r="G48" s="19">
        <v>720</v>
      </c>
      <c r="I48" s="19">
        <v>0</v>
      </c>
      <c r="J48" s="19">
        <v>720</v>
      </c>
    </row>
    <row r="49" spans="2:10" x14ac:dyDescent="0.3">
      <c r="B49" s="17" t="s">
        <v>120</v>
      </c>
      <c r="C49" s="17" t="s">
        <v>121</v>
      </c>
      <c r="D49" s="19">
        <v>0</v>
      </c>
      <c r="F49" s="19">
        <v>0</v>
      </c>
      <c r="G49" s="19">
        <v>720</v>
      </c>
      <c r="I49" s="19">
        <v>0</v>
      </c>
      <c r="J49" s="19">
        <v>720</v>
      </c>
    </row>
    <row r="50" spans="2:10" x14ac:dyDescent="0.3">
      <c r="B50" s="17" t="s">
        <v>122</v>
      </c>
      <c r="C50" s="17" t="s">
        <v>123</v>
      </c>
      <c r="D50" s="19">
        <v>0</v>
      </c>
      <c r="F50" s="19">
        <v>0</v>
      </c>
      <c r="G50" s="19">
        <v>720</v>
      </c>
      <c r="I50" s="19">
        <v>0</v>
      </c>
      <c r="J50" s="19">
        <v>720</v>
      </c>
    </row>
    <row r="51" spans="2:10" x14ac:dyDescent="0.3">
      <c r="B51" s="17" t="s">
        <v>124</v>
      </c>
      <c r="C51" s="17" t="s">
        <v>125</v>
      </c>
      <c r="D51" s="19">
        <v>0</v>
      </c>
      <c r="F51" s="19">
        <v>0</v>
      </c>
      <c r="G51" s="19">
        <v>720</v>
      </c>
      <c r="I51" s="19">
        <v>0</v>
      </c>
      <c r="J51" s="19">
        <v>720</v>
      </c>
    </row>
    <row r="52" spans="2:10" x14ac:dyDescent="0.3">
      <c r="B52" s="17" t="s">
        <v>126</v>
      </c>
      <c r="C52" s="17" t="s">
        <v>127</v>
      </c>
      <c r="D52" s="19">
        <v>1</v>
      </c>
      <c r="F52" s="19">
        <v>1</v>
      </c>
      <c r="G52" s="19">
        <v>720</v>
      </c>
      <c r="I52" s="19">
        <v>1</v>
      </c>
      <c r="J52" s="19">
        <v>720</v>
      </c>
    </row>
    <row r="53" spans="2:10" ht="15" thickBot="1" x14ac:dyDescent="0.35">
      <c r="B53" s="15" t="s">
        <v>128</v>
      </c>
      <c r="C53" s="15" t="s">
        <v>240</v>
      </c>
      <c r="D53" s="18">
        <v>1</v>
      </c>
      <c r="F53" s="18">
        <v>0</v>
      </c>
      <c r="G53" s="18">
        <v>620</v>
      </c>
      <c r="I53" s="18">
        <v>1</v>
      </c>
      <c r="J53" s="18">
        <v>720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"/>
  <sheetViews>
    <sheetView tabSelected="1" workbookViewId="0">
      <selection activeCell="L2" sqref="L2"/>
    </sheetView>
  </sheetViews>
  <sheetFormatPr defaultRowHeight="14.4" x14ac:dyDescent="0.3"/>
  <cols>
    <col min="1" max="1" width="17.33203125" customWidth="1"/>
  </cols>
  <sheetData>
    <row r="1" spans="1:15" ht="18.600000000000001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0"/>
      <c r="N1" s="5"/>
      <c r="O1" s="5"/>
    </row>
    <row r="2" spans="1:15" x14ac:dyDescent="0.3">
      <c r="A2" s="3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24</v>
      </c>
      <c r="M2" s="4"/>
      <c r="N2" s="7" t="s">
        <v>22</v>
      </c>
      <c r="O2" s="1" t="s">
        <v>21</v>
      </c>
    </row>
    <row r="3" spans="1:15" x14ac:dyDescent="0.3">
      <c r="A3" s="1" t="s">
        <v>1</v>
      </c>
      <c r="B3" s="2">
        <v>1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1</v>
      </c>
      <c r="K3" s="2">
        <v>1</v>
      </c>
      <c r="L3" s="9">
        <f>SUM(B3:K3)</f>
        <v>5</v>
      </c>
      <c r="M3" s="6"/>
      <c r="N3" s="3">
        <f>SUMPRODUCT(B3:K3,$B$11:$K$11)</f>
        <v>1340</v>
      </c>
      <c r="O3" s="3">
        <v>2500</v>
      </c>
    </row>
    <row r="4" spans="1:15" x14ac:dyDescent="0.3">
      <c r="A4" s="1" t="s">
        <v>2</v>
      </c>
      <c r="B4" s="2">
        <v>0</v>
      </c>
      <c r="C4" s="2">
        <v>1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1</v>
      </c>
      <c r="L4" s="9">
        <f t="shared" ref="L4:L6" si="0">SUM(B4:K4)</f>
        <v>4</v>
      </c>
      <c r="M4" s="6"/>
      <c r="N4" s="3">
        <f t="shared" ref="N4:N6" si="1">SUMPRODUCT(B4:K4,$B$11:$K$11)</f>
        <v>1150</v>
      </c>
      <c r="O4" s="3">
        <v>1600</v>
      </c>
    </row>
    <row r="5" spans="1:15" x14ac:dyDescent="0.3">
      <c r="A5" s="1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1</v>
      </c>
      <c r="L5" s="9">
        <f t="shared" si="0"/>
        <v>2</v>
      </c>
      <c r="M5" s="6"/>
      <c r="N5" s="3">
        <f t="shared" si="1"/>
        <v>320</v>
      </c>
      <c r="O5" s="3">
        <v>1200</v>
      </c>
    </row>
    <row r="6" spans="1:15" x14ac:dyDescent="0.3">
      <c r="A6" s="1" t="s">
        <v>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9">
        <f t="shared" si="0"/>
        <v>2</v>
      </c>
      <c r="M6" s="6"/>
      <c r="N6" s="3">
        <f t="shared" si="1"/>
        <v>170</v>
      </c>
      <c r="O6" s="3">
        <v>512</v>
      </c>
    </row>
    <row r="7" spans="1:15" x14ac:dyDescent="0.3">
      <c r="A7" s="1" t="s">
        <v>219</v>
      </c>
      <c r="B7" s="3">
        <f>SUM(B3:B6)</f>
        <v>1</v>
      </c>
      <c r="C7" s="3">
        <f t="shared" ref="C7:K7" si="2">SUM(C3:C6)</f>
        <v>1</v>
      </c>
      <c r="D7" s="3">
        <f t="shared" si="2"/>
        <v>1</v>
      </c>
      <c r="E7" s="3">
        <f t="shared" si="2"/>
        <v>1</v>
      </c>
      <c r="F7" s="3">
        <f t="shared" si="2"/>
        <v>1</v>
      </c>
      <c r="G7" s="3">
        <f t="shared" si="2"/>
        <v>1</v>
      </c>
      <c r="H7" s="3">
        <f t="shared" si="2"/>
        <v>1</v>
      </c>
      <c r="I7" s="3">
        <f t="shared" si="2"/>
        <v>1</v>
      </c>
      <c r="J7" s="3">
        <f t="shared" si="2"/>
        <v>1</v>
      </c>
      <c r="K7" s="3">
        <f t="shared" si="2"/>
        <v>4</v>
      </c>
      <c r="L7" s="20" t="s">
        <v>238</v>
      </c>
      <c r="M7" s="6"/>
      <c r="N7" s="5"/>
      <c r="O7" s="5"/>
    </row>
    <row r="8" spans="1:15" x14ac:dyDescent="0.3">
      <c r="A8" s="1" t="s">
        <v>237</v>
      </c>
      <c r="B8" s="9">
        <v>1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4</v>
      </c>
      <c r="L8" s="20" t="s">
        <v>238</v>
      </c>
      <c r="M8" s="6"/>
      <c r="N8" s="5"/>
      <c r="O8" s="5"/>
    </row>
    <row r="9" spans="1:15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3">
      <c r="A10" s="1" t="s">
        <v>235</v>
      </c>
      <c r="B10" s="3">
        <v>95</v>
      </c>
      <c r="C10" s="3">
        <v>80</v>
      </c>
      <c r="D10" s="3">
        <v>60</v>
      </c>
      <c r="E10" s="3">
        <v>65</v>
      </c>
      <c r="F10" s="3">
        <v>90</v>
      </c>
      <c r="G10" s="3">
        <v>40</v>
      </c>
      <c r="H10" s="3">
        <v>50</v>
      </c>
      <c r="I10" s="3">
        <v>55</v>
      </c>
      <c r="J10" s="3">
        <v>85</v>
      </c>
      <c r="K10" s="3">
        <v>100</v>
      </c>
      <c r="L10" s="5"/>
      <c r="M10" s="5"/>
      <c r="N10" s="5"/>
      <c r="O10" s="5"/>
    </row>
    <row r="11" spans="1:15" x14ac:dyDescent="0.3">
      <c r="A11" s="7" t="s">
        <v>236</v>
      </c>
      <c r="B11" s="3">
        <v>80</v>
      </c>
      <c r="C11" s="3">
        <v>150</v>
      </c>
      <c r="D11" s="3">
        <v>400</v>
      </c>
      <c r="E11" s="3">
        <v>360</v>
      </c>
      <c r="F11" s="3">
        <v>50</v>
      </c>
      <c r="G11" s="3">
        <v>200</v>
      </c>
      <c r="H11" s="3">
        <v>650</v>
      </c>
      <c r="I11" s="3">
        <v>520</v>
      </c>
      <c r="J11" s="3">
        <v>90</v>
      </c>
      <c r="K11" s="3">
        <v>120</v>
      </c>
      <c r="L11" s="5"/>
      <c r="M11" s="5"/>
      <c r="N11" s="5"/>
      <c r="O11" s="5"/>
    </row>
    <row r="12" spans="1:15" x14ac:dyDescent="0.3">
      <c r="A12" s="8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3">
      <c r="A13" s="1" t="s">
        <v>15</v>
      </c>
      <c r="B13" s="2">
        <f>(SUMPRODUCT(B3:J6*B10:J10) + B21*100)</f>
        <v>720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3">
      <c r="A14" s="4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3">
      <c r="A15" s="13" t="s">
        <v>16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1"/>
      <c r="M15" s="11"/>
      <c r="N15" s="5"/>
      <c r="O15" s="5"/>
    </row>
    <row r="16" spans="1:15" x14ac:dyDescent="0.3">
      <c r="A16" s="1" t="s">
        <v>17</v>
      </c>
      <c r="B16" s="3">
        <v>1</v>
      </c>
      <c r="C16" s="3">
        <v>0</v>
      </c>
      <c r="D16" s="3">
        <v>1</v>
      </c>
      <c r="E16" s="3">
        <v>0</v>
      </c>
      <c r="F16" s="3">
        <v>1</v>
      </c>
      <c r="G16" s="3">
        <v>0</v>
      </c>
      <c r="H16" s="3">
        <v>1</v>
      </c>
      <c r="I16" s="3">
        <v>0</v>
      </c>
      <c r="J16" s="3">
        <v>1</v>
      </c>
      <c r="K16" s="3">
        <v>1</v>
      </c>
      <c r="L16" s="5"/>
      <c r="M16" s="5"/>
      <c r="N16" s="5"/>
      <c r="O16" s="5"/>
    </row>
    <row r="17" spans="1:15" x14ac:dyDescent="0.3">
      <c r="A17" s="1" t="s">
        <v>18</v>
      </c>
      <c r="B17" s="3">
        <v>0</v>
      </c>
      <c r="C17" s="3">
        <v>1</v>
      </c>
      <c r="D17" s="3">
        <v>0</v>
      </c>
      <c r="E17" s="3">
        <v>1</v>
      </c>
      <c r="F17" s="3">
        <v>0</v>
      </c>
      <c r="G17" s="3">
        <v>0</v>
      </c>
      <c r="H17" s="3">
        <v>1</v>
      </c>
      <c r="I17" s="3">
        <v>1</v>
      </c>
      <c r="J17" s="3">
        <v>0</v>
      </c>
      <c r="K17" s="3">
        <v>1</v>
      </c>
      <c r="L17" s="5"/>
      <c r="M17" s="5"/>
      <c r="N17" s="5"/>
      <c r="O17" s="5"/>
    </row>
    <row r="18" spans="1:15" x14ac:dyDescent="0.3">
      <c r="A18" s="1" t="s">
        <v>19</v>
      </c>
      <c r="B18" s="3">
        <v>1</v>
      </c>
      <c r="C18" s="3">
        <v>1</v>
      </c>
      <c r="D18" s="3">
        <v>0</v>
      </c>
      <c r="E18" s="3">
        <v>1</v>
      </c>
      <c r="F18" s="3">
        <v>0</v>
      </c>
      <c r="G18" s="3">
        <v>1</v>
      </c>
      <c r="H18" s="3">
        <v>0</v>
      </c>
      <c r="I18" s="3">
        <v>0</v>
      </c>
      <c r="J18" s="3">
        <v>1</v>
      </c>
      <c r="K18" s="3">
        <v>1</v>
      </c>
      <c r="L18" s="5"/>
      <c r="M18" s="5"/>
      <c r="N18" s="5"/>
      <c r="O18" s="5"/>
    </row>
    <row r="19" spans="1:15" x14ac:dyDescent="0.3">
      <c r="A19" s="1" t="s">
        <v>20</v>
      </c>
      <c r="B19" s="3">
        <v>1</v>
      </c>
      <c r="C19" s="3">
        <v>0</v>
      </c>
      <c r="D19" s="3">
        <v>1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1</v>
      </c>
      <c r="K19" s="3">
        <v>1</v>
      </c>
      <c r="L19" s="5"/>
      <c r="M19" s="5"/>
      <c r="N19" s="5"/>
      <c r="O19" s="5"/>
    </row>
    <row r="20" spans="1:15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">
      <c r="A21" s="1" t="s">
        <v>234</v>
      </c>
      <c r="B21" s="2">
        <v>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3">
      <c r="A22" s="7" t="s">
        <v>23</v>
      </c>
      <c r="B22" s="3">
        <f>SUM(K3:K6)/4</f>
        <v>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</sheetData>
  <mergeCells count="2">
    <mergeCell ref="A15:K15"/>
    <mergeCell ref="A1:L1"/>
  </mergeCells>
  <pageMargins left="0.7" right="0.7" top="0.75" bottom="0.75" header="0.3" footer="0.3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 Report 1</vt:lpstr>
      <vt:lpstr>Answer Report 2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Velmala</dc:creator>
  <cp:lastModifiedBy>Tanvi Velmala</cp:lastModifiedBy>
  <cp:lastPrinted>2026-04-29T16:39:57Z</cp:lastPrinted>
  <dcterms:created xsi:type="dcterms:W3CDTF">2026-04-28T14:27:56Z</dcterms:created>
  <dcterms:modified xsi:type="dcterms:W3CDTF">2026-04-29T18:43:21Z</dcterms:modified>
</cp:coreProperties>
</file>